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ncan\Desktop\Repositorio_Analisis\30723_G3_ADSW\Biblioteca-de-Trabajo\1. ELICITACION\1.3 Historias de Usuario\"/>
    </mc:Choice>
  </mc:AlternateContent>
  <xr:revisionPtr revIDLastSave="0" documentId="13_ncr:1_{040854D0-0513-4527-B6B5-24ECB03A4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9fdRFIQrDoX7Bs3vwqMlRmR+TGZJXzF4OFTDLBiZVMc="/>
    </ext>
  </extLst>
</workbook>
</file>

<file path=xl/calcChain.xml><?xml version="1.0" encoding="utf-8"?>
<calcChain xmlns="http://schemas.openxmlformats.org/spreadsheetml/2006/main">
  <c r="L88" i="2" l="1"/>
  <c r="E88" i="2"/>
  <c r="E85" i="2"/>
  <c r="M81" i="2"/>
  <c r="H81" i="2"/>
  <c r="D81" i="2"/>
  <c r="H79" i="2"/>
  <c r="E79" i="2"/>
  <c r="C79" i="2"/>
  <c r="H76" i="2"/>
  <c r="E76" i="2"/>
  <c r="AC66" i="2"/>
  <c r="V66" i="2"/>
  <c r="L66" i="2"/>
  <c r="E66" i="2"/>
  <c r="V63" i="2"/>
  <c r="E63" i="2"/>
  <c r="AD59" i="2"/>
  <c r="Y59" i="2"/>
  <c r="U59" i="2"/>
  <c r="M59" i="2"/>
  <c r="H59" i="2"/>
  <c r="D59" i="2"/>
  <c r="Y57" i="2"/>
  <c r="V57" i="2"/>
  <c r="T57" i="2"/>
  <c r="H57" i="2"/>
  <c r="E57" i="2"/>
  <c r="C57" i="2"/>
  <c r="Y54" i="2"/>
  <c r="V54" i="2"/>
  <c r="H54" i="2"/>
  <c r="E54" i="2"/>
  <c r="AC44" i="2"/>
  <c r="V44" i="2"/>
  <c r="L44" i="2"/>
  <c r="E44" i="2"/>
  <c r="V41" i="2"/>
  <c r="E41" i="2"/>
  <c r="AD37" i="2"/>
  <c r="Y37" i="2"/>
  <c r="U37" i="2"/>
  <c r="M37" i="2"/>
  <c r="H37" i="2"/>
  <c r="D37" i="2"/>
  <c r="Y35" i="2"/>
  <c r="V35" i="2"/>
  <c r="T35" i="2"/>
  <c r="H35" i="2"/>
  <c r="E35" i="2"/>
  <c r="C35" i="2"/>
  <c r="Y32" i="2"/>
  <c r="V32" i="2"/>
  <c r="H32" i="2"/>
  <c r="E32" i="2"/>
  <c r="AC22" i="2"/>
  <c r="V22" i="2"/>
  <c r="L22" i="2"/>
  <c r="E22" i="2"/>
  <c r="V19" i="2"/>
  <c r="E19" i="2"/>
  <c r="AD15" i="2"/>
  <c r="Y15" i="2"/>
  <c r="U15" i="2"/>
  <c r="M15" i="2"/>
  <c r="H15" i="2"/>
  <c r="D15" i="2"/>
  <c r="Y13" i="2"/>
  <c r="V13" i="2"/>
  <c r="T13" i="2"/>
  <c r="H13" i="2"/>
  <c r="E13" i="2"/>
  <c r="C13" i="2"/>
  <c r="Y10" i="2"/>
  <c r="V10" i="2"/>
  <c r="H10" i="2"/>
  <c r="E10" i="2"/>
</calcChain>
</file>

<file path=xl/sharedStrings.xml><?xml version="1.0" encoding="utf-8"?>
<sst xmlns="http://schemas.openxmlformats.org/spreadsheetml/2006/main" count="209" uniqueCount="96">
  <si>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</si>
  <si>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</si>
  <si>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</si>
  <si>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</si>
  <si>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</si>
  <si>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</si>
  <si>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</si>
  <si>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</si>
  <si>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</si>
  <si>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</si>
  <si>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</si>
  <si>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</si>
  <si>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</si>
  <si>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</si>
  <si>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</si>
  <si>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REQ000</t>
  </si>
  <si>
    <t>Inicio de Sesión</t>
  </si>
  <si>
    <t>El programa deberá tener una interfaz gráfica donde los usuarios ingresen sus credenciales, sean validadas y accedan al sistema.</t>
  </si>
  <si>
    <t>Para controlar el acceso al sistema según el rol del usuario.</t>
  </si>
  <si>
    <t xml:space="preserve">Administrador, Fisioterapeuta, Auxiliar </t>
  </si>
  <si>
    <t>Implementando una ventana de inicio de sesión la cual solicitará credenciales (correo/usuario y contraseña) creadas por el administrador para poder acceder a las funciones del sistema.</t>
  </si>
  <si>
    <t>Saray Cañarte</t>
  </si>
  <si>
    <t>Alta</t>
  </si>
  <si>
    <t>No iniciado</t>
  </si>
  <si>
    <t xml:space="preserve">El usuario ingresará al sistema mediante un usuario y contraseña previamente creados, el sistema valida redirección por rol. Si el usuario ingresa erróneamentesus credenciales debe volver a intentarlo , después de 3 intentos de inicio de sesión consecutivos fallidos, se bloqueará el acceso al sistema. </t>
  </si>
  <si>
    <t>Debe registrar auditoría de inicio de sesiín (usuario, fecha, hora, rol).</t>
  </si>
  <si>
    <t>Iniciar Sesión</t>
  </si>
  <si>
    <t>REQ001</t>
  </si>
  <si>
    <t>Recuperación de contraseña</t>
  </si>
  <si>
    <t>El sistema deberá tener una interfaz gráfica donde los usuarios puedan recuperar su contraseña de acceso.</t>
  </si>
  <si>
    <t>Para permitir la recuperación de credenciales de los usuarios en caso de haber olvidado la contraseña</t>
  </si>
  <si>
    <t>Creando una ventana de recuperación de contraseña la cual requerirá ingresar el correo electrónico asociado a la cuenta para enviar una validación de la recuperación y pedir la nueva contraseña.</t>
  </si>
  <si>
    <t>Doménica Villagómez</t>
  </si>
  <si>
    <t xml:space="preserve">Media </t>
  </si>
  <si>
    <t>El usuario selecciona la opción de recuperar contraseña, ingresa el correo electrónico asociado a la cuenta y verifica la notificación de recuperación. Una vez aprobado, ingresa la nueva contraseña dos veces y aplica el cambio e inicia sesión con la contraseña actualizada. Si las contraseñas no coinciden se mostrará un mensaje "Las contraseñas no coinciden".</t>
  </si>
  <si>
    <t>Recuperación de Contraseña</t>
  </si>
  <si>
    <t>REQ002</t>
  </si>
  <si>
    <t>Generar notificación</t>
  </si>
  <si>
    <t>El sistema deberá detectar automáticamente eventos en citas (creación, cancelación, reprogramación) y notificar al paciente mediante el canal configurado.</t>
  </si>
  <si>
    <t>Para informar al paciente de los cambios realizados en su cita.</t>
  </si>
  <si>
    <t>Auxiliar, Paciente</t>
  </si>
  <si>
    <t>Detectando automáticamente la creación o cambio de estado en una cita, recuperando los datos de la cita (fecha, hora, servicio) y del paciente (teléfono, correo), seleccionando la plantilla adecuada y enviando la notificación a través del canal configurado (WhatsApp o correo electrónico). El sistema registra el resultado del envío en el log de auditoría.</t>
  </si>
  <si>
    <t>Danny Ayuquina</t>
  </si>
  <si>
    <t>El sistema detecta un evento de cita (creación, cancelación o reprogramación), genera el mensaje con los datos correspondientes y lo envía al canal definido del paciente. Se verifica que el destinatario recibe la notificación con: código de cita, fecha, hora, servicio y estado. Si el canal no está disponible, el sistema registra el evento como "pendiente de notificación".</t>
  </si>
  <si>
    <t>Las notificaciones se generan automáticamente al crear, modificar o cancelar una cita. El sistema debe dejar trazabilidad del evento que originó el aviso (destinatario, canal, fecha/hora y estado de entrega).</t>
  </si>
  <si>
    <t>REQ003</t>
  </si>
  <si>
    <t>Gestión de Citas</t>
  </si>
  <si>
    <t>El sistema deberá permitir registrar, modificar, cancelar y consultar citas médicas mediante una interfaz gráfica, validando la disponibilidad de horarios, pacientes y consultorios.</t>
  </si>
  <si>
    <t>Para administrar eficientemente la agenda de atención médica y garantizar la correcta asignación de citas.</t>
  </si>
  <si>
    <t>Auxiliar</t>
  </si>
  <si>
    <t>Implementando un módulo de gestión de citas para crear, modificar, cancelar y consultar citas médicas. El sistema validará existencia y estado activo del paciente, la disponibilidad de horarios y consultorios, registrará cambios realizados y actualizará el estado de la cita.</t>
  </si>
  <si>
    <t>La auxiliar creará una cita ingresando cédula del paciente, servicio, fecha, hora y duración, y verificará disponibilidad de horario/consultorio, generará código de cita y mostrará confirmación. También permitirá modificar, cancelar y consultar citas siempre que no existan conflictos.</t>
  </si>
  <si>
    <t>Debe registrar auditoría de creación, modificación y cancelación de citas, incluyendo usuario responsable, fecha, hora, motivo de cancelación, datos anteriores y nuevos de la cita, y código de cita generado.</t>
  </si>
  <si>
    <t>REQ004</t>
  </si>
  <si>
    <t>Gestionar Pacientes</t>
  </si>
  <si>
    <t>El sistema deberá facilitar el manejo de la información de los pacientes a través de su registro, modificación, consulta e inactivación, validando campos obligatorios.</t>
  </si>
  <si>
    <t>Para mantener la información necesaria de los pacientes y asociarla a las citas del sistema</t>
  </si>
  <si>
    <t>Establecer un módulo de gestión de pacientes, donde el auxiliar pueda ejecutar las acciones: registro de nuevos pacientes, o consulta, modificación e inactivación de pacientes existentes. El sistema debe validar campos obligatorios como: que la cédula exista, que el teléfono tenga solo dígitos, que la edad sea consistente con la fecha de nacimiento. Para la modificación el sistema verifica que exista el paciente y los campos permitidos a cambiar son: domicilio, teléfono, ocupación y estado civil. Para la inactivación, el paciente no debe tener citas programadas a futuro.</t>
  </si>
  <si>
    <t>La auxiliar ingresa al módulo de gestión de pacientes y crea un paciente ingresando los datos requeridos de forma correcta, el sistema validará y si todo está bien, registra el paciente con estado activo. Conultará el paciente registrado usando el filtro por nombre o cédula. Modificará el paciente y el sistema solo permitirá cambiar los campos: domicilio, tel;efono, ocupación y estado civil. Inactivará el paciente, y el sistema validará que este no tenga agendada ninguna cita futura para permitir la acción. Caso contrario, se mostrará un mensaje informativo "Datos erróneos (especifica error)"</t>
  </si>
  <si>
    <t>Debe considerar los datos que se manejan según la acción a realizar</t>
  </si>
  <si>
    <t>Gestión de Pacientes</t>
  </si>
  <si>
    <t>REQ005</t>
  </si>
  <si>
    <t>Gestionar Perfiles</t>
  </si>
  <si>
    <t>El sistema deberá permitir al administrador crear, modificar, desactivar y consultar perfiles de usuario, asignando nombre y permisos de acceso a módulos del sistema, a través de una interfaz gráfica.</t>
  </si>
  <si>
    <t>Para controlar los accesos y permisos de los usuarios dentro del sistema según su rol.</t>
  </si>
  <si>
    <t>Administrador</t>
  </si>
  <si>
    <t>Implementando un módulo de gestión de perfiles donde el administrador pueda crear perfiles con nombre y permisos (gestionar citas, pacientes, horarios, planificación, perfiles), modificar permisos de perfiles existentes, desactivarlos y consultarlos. El sistema validará unicidad del nombre del perfil y restricciones sobre el perfil Administrador.</t>
  </si>
  <si>
    <t>El administrador crea un perfil con nombre y al menos un permiso; el sistema valida unicidad y registra con estado activo. Modifica permisos de un perfil existente. Desactiva un perfil verificando que no tenga usuarios asignados; si los tiene, muestra mensaje solicitando reasignación previa. Consulta perfiles por nombre o estado. El sistema impide desactivar el perfil Administrador si es el único activo.</t>
  </si>
  <si>
    <t>El sistema debe registrar en auditoría el perfil modificado, los permisos cambiados y el usuario administrador responsable. No se puede retirar el permiso 'gestionar perfiles' del perfil Administrador.</t>
  </si>
  <si>
    <t>REQ006</t>
  </si>
  <si>
    <t>Gestionar Planificación</t>
  </si>
  <si>
    <t>El sistema deberá permitir administrar la planificación de horarios, fisioterapeutas y consultorios mediante una interfaz gráfica, validando disponibilidad, asignaciones y restricciones de uso.</t>
  </si>
  <si>
    <t>Para organizar la disponibilidad de atención, optimizar la asignación de recursos y garantizar una correcta gestión de horarios y consultorios.</t>
  </si>
  <si>
    <t>Administrador, Fisioterapeuta</t>
  </si>
  <si>
    <t>Implementando un módulo de planificación donde el administrador podrá asignar fisioterapeutas a horarios, registrar consultorios, asignar consultorios a la planificación y gestionar su disponibilidad. El sistema validará la existencia de fisioterapeutas y consultorios y conflictos de horarios.</t>
  </si>
  <si>
    <t>El administrador podrá asignar fisioterapeutas a horarios disponibles, registrar nuevos consultorios, asignarlos a la planificación y gestionar disponibilidad. El sistema verificará que los fisioterapeutas y consultorios existan, conflictos de horarios, asignaciones duplicadas y que se respeten las restricciones establecidas. También se verificará que los consultorios con planificaciones no puedan eliminarse o inactivarse.</t>
  </si>
  <si>
    <t>Debe registrar auditoría de creación, asignación, modificación e inactivación de consultorios y planificaciones, incluyendo usuario responsable, fecha, hora, datos anteriores y nuevos.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</si>
  <si>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</si>
  <si>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</si>
  <si>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</si>
  <si>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</si>
  <si>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</si>
  <si>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</si>
  <si>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</si>
  <si>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</si>
  <si>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</si>
  <si>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</si>
  <si>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</si>
  <si>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</si>
  <si>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</si>
  <si>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</si>
  <si>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27/05/2026</t>
  </si>
  <si>
    <t>29/5/2026</t>
  </si>
  <si>
    <t>15/6/2026</t>
  </si>
  <si>
    <t>26/6/2026</t>
  </si>
  <si>
    <t>15/7/2026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</si>
</sst>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\.m"/>
    <numFmt numFmtId="166" formatCode="d/mm/yyyy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b/>
      <sz val="11"/>
      <color rgb="FFFFFFFF"/>
      <name val="Calibri"/>
    </font>
    <font>
      <sz val="11"/>
      <color rgb="FF006100"/>
      <name val="Calibri"/>
    </font>
    <font>
      <sz val="9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5B9BD5"/>
        <bgColor rgb="FF5B9BD5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6" fontId="5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/>
    </xf>
    <xf numFmtId="165" fontId="14" fillId="3" borderId="4" xfId="0" applyNumberFormat="1" applyFont="1" applyFill="1" applyBorder="1" applyAlignment="1">
      <alignment horizontal="center" vertical="center"/>
    </xf>
    <xf numFmtId="0" fontId="11" fillId="5" borderId="13" xfId="0" applyFont="1" applyFill="1" applyBorder="1"/>
    <xf numFmtId="0" fontId="11" fillId="5" borderId="5" xfId="0" applyFont="1" applyFill="1" applyBorder="1" applyAlignment="1">
      <alignment horizontal="center"/>
    </xf>
    <xf numFmtId="0" fontId="11" fillId="5" borderId="31" xfId="0" applyFont="1" applyFill="1" applyBorder="1"/>
    <xf numFmtId="0" fontId="11" fillId="5" borderId="32" xfId="0" applyFont="1" applyFill="1" applyBorder="1"/>
    <xf numFmtId="0" fontId="11" fillId="5" borderId="33" xfId="0" applyFont="1" applyFill="1" applyBorder="1"/>
    <xf numFmtId="0" fontId="16" fillId="9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vertical="center"/>
    </xf>
    <xf numFmtId="49" fontId="11" fillId="5" borderId="5" xfId="0" applyNumberFormat="1" applyFont="1" applyFill="1" applyBorder="1" applyAlignment="1">
      <alignment vertical="center"/>
    </xf>
    <xf numFmtId="0" fontId="16" fillId="0" borderId="0" xfId="0" applyFont="1" applyAlignment="1">
      <alignment horizontal="center"/>
    </xf>
    <xf numFmtId="0" fontId="11" fillId="5" borderId="11" xfId="0" applyFont="1" applyFill="1" applyBorder="1"/>
    <xf numFmtId="0" fontId="11" fillId="5" borderId="12" xfId="0" applyFont="1" applyFill="1" applyBorder="1"/>
    <xf numFmtId="49" fontId="11" fillId="5" borderId="5" xfId="0" applyNumberFormat="1" applyFont="1" applyFill="1" applyBorder="1"/>
    <xf numFmtId="49" fontId="1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2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6" xfId="0" applyFont="1" applyBorder="1"/>
    <xf numFmtId="0" fontId="3" fillId="0" borderId="19" xfId="0" applyFont="1" applyBorder="1"/>
    <xf numFmtId="0" fontId="0" fillId="0" borderId="0" xfId="0"/>
    <xf numFmtId="0" fontId="3" fillId="0" borderId="20" xfId="0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3" xfId="0" applyFont="1" applyBorder="1"/>
    <xf numFmtId="0" fontId="12" fillId="7" borderId="14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21" xfId="0" applyFont="1" applyBorder="1"/>
    <xf numFmtId="0" fontId="14" fillId="2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15" fillId="8" borderId="15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49" fontId="9" fillId="3" borderId="15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49" fontId="9" fillId="4" borderId="15" xfId="0" applyNumberFormat="1" applyFont="1" applyFill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center" vertical="center"/>
    </xf>
    <xf numFmtId="49" fontId="14" fillId="2" borderId="25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49" fontId="9" fillId="4" borderId="15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center"/>
    </xf>
    <xf numFmtId="0" fontId="9" fillId="4" borderId="15" xfId="0" applyFont="1" applyFill="1" applyBorder="1"/>
    <xf numFmtId="0" fontId="9" fillId="4" borderId="15" xfId="0" applyFont="1" applyFill="1" applyBorder="1" applyAlignment="1">
      <alignment horizontal="center" vertical="center" wrapText="1"/>
    </xf>
    <xf numFmtId="0" fontId="16" fillId="11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vertical="center" wrapText="1"/>
    </xf>
    <xf numFmtId="0" fontId="14" fillId="2" borderId="25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49" fontId="9" fillId="0" borderId="0" xfId="0" applyNumberFormat="1" applyFont="1" applyAlignment="1">
      <alignment wrapText="1"/>
    </xf>
    <xf numFmtId="0" fontId="11" fillId="0" borderId="0" xfId="0" applyFont="1"/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9" fillId="4" borderId="15" xfId="0" applyFont="1" applyFill="1" applyBorder="1" applyAlignment="1">
      <alignment horizontal="center" wrapText="1"/>
    </xf>
    <xf numFmtId="0" fontId="16" fillId="11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vertical="center"/>
    </xf>
    <xf numFmtId="0" fontId="15" fillId="8" borderId="15" xfId="0" applyFont="1" applyFill="1" applyBorder="1" applyAlignment="1">
      <alignment horizontal="center"/>
    </xf>
    <xf numFmtId="0" fontId="16" fillId="9" borderId="15" xfId="0" applyFont="1" applyFill="1" applyBorder="1" applyAlignment="1">
      <alignment horizontal="center"/>
    </xf>
    <xf numFmtId="49" fontId="9" fillId="4" borderId="15" xfId="0" applyNumberFormat="1" applyFont="1" applyFill="1" applyBorder="1" applyAlignment="1">
      <alignment wrapText="1"/>
    </xf>
    <xf numFmtId="49" fontId="14" fillId="2" borderId="25" xfId="0" applyNumberFormat="1" applyFont="1" applyFill="1" applyBorder="1" applyAlignment="1">
      <alignment horizontal="center"/>
    </xf>
    <xf numFmtId="49" fontId="9" fillId="4" borderId="15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G1" workbookViewId="0">
      <selection activeCell="J9" sqref="J9"/>
    </sheetView>
  </sheetViews>
  <sheetFormatPr defaultColWidth="12.59765625" defaultRowHeight="15" customHeight="1" x14ac:dyDescent="0.25"/>
  <cols>
    <col min="1" max="1" width="4.59765625" customWidth="1"/>
    <col min="2" max="2" width="6.59765625" customWidth="1"/>
    <col min="3" max="3" width="25.09765625" customWidth="1"/>
    <col min="4" max="4" width="31.09765625" customWidth="1"/>
    <col min="5" max="5" width="20.59765625" customWidth="1"/>
    <col min="6" max="6" width="11.5" customWidth="1"/>
    <col min="7" max="7" width="41" customWidth="1"/>
    <col min="8" max="12" width="10.59765625" customWidth="1"/>
    <col min="13" max="13" width="38.0976562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62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2.8" x14ac:dyDescent="0.25">
      <c r="A6" s="5"/>
      <c r="B6" s="6" t="s">
        <v>15</v>
      </c>
      <c r="C6" s="6" t="s">
        <v>16</v>
      </c>
      <c r="D6" s="7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3</v>
      </c>
      <c r="J6" s="8" t="s">
        <v>91</v>
      </c>
      <c r="K6" s="6" t="s">
        <v>22</v>
      </c>
      <c r="L6" s="6" t="s">
        <v>80</v>
      </c>
      <c r="M6" s="6" t="s">
        <v>24</v>
      </c>
      <c r="N6" s="6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6.6" x14ac:dyDescent="0.25">
      <c r="A7" s="5"/>
      <c r="B7" s="6" t="s">
        <v>27</v>
      </c>
      <c r="C7" s="6" t="s">
        <v>28</v>
      </c>
      <c r="D7" s="7" t="s">
        <v>29</v>
      </c>
      <c r="E7" s="6" t="s">
        <v>30</v>
      </c>
      <c r="F7" s="6" t="s">
        <v>19</v>
      </c>
      <c r="G7" s="7" t="s">
        <v>31</v>
      </c>
      <c r="H7" s="6" t="s">
        <v>32</v>
      </c>
      <c r="I7" s="10">
        <v>46143</v>
      </c>
      <c r="J7" s="8" t="s">
        <v>92</v>
      </c>
      <c r="K7" s="6" t="s">
        <v>33</v>
      </c>
      <c r="L7" s="6" t="s">
        <v>80</v>
      </c>
      <c r="M7" s="6" t="s">
        <v>34</v>
      </c>
      <c r="N7" s="6"/>
      <c r="O7" s="9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0.4" x14ac:dyDescent="0.25">
      <c r="A8" s="5"/>
      <c r="B8" s="6" t="s">
        <v>36</v>
      </c>
      <c r="C8" s="6" t="s">
        <v>37</v>
      </c>
      <c r="D8" s="7" t="s">
        <v>38</v>
      </c>
      <c r="E8" s="6" t="s">
        <v>39</v>
      </c>
      <c r="F8" s="6" t="s">
        <v>40</v>
      </c>
      <c r="G8" s="7" t="s">
        <v>41</v>
      </c>
      <c r="H8" s="6" t="s">
        <v>42</v>
      </c>
      <c r="I8" s="6">
        <v>1.5</v>
      </c>
      <c r="J8" s="8" t="s">
        <v>95</v>
      </c>
      <c r="K8" s="6" t="s">
        <v>33</v>
      </c>
      <c r="L8" s="6" t="s">
        <v>80</v>
      </c>
      <c r="M8" s="6" t="s">
        <v>43</v>
      </c>
      <c r="N8" s="6" t="s">
        <v>44</v>
      </c>
      <c r="O8" s="9" t="s">
        <v>37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4" customHeight="1" x14ac:dyDescent="0.25">
      <c r="A9" s="5"/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7" t="s">
        <v>50</v>
      </c>
      <c r="H9" s="6" t="s">
        <v>21</v>
      </c>
      <c r="I9" s="6">
        <v>8</v>
      </c>
      <c r="J9" s="8" t="s">
        <v>94</v>
      </c>
      <c r="K9" s="6" t="s">
        <v>22</v>
      </c>
      <c r="L9" s="6" t="s">
        <v>80</v>
      </c>
      <c r="M9" s="11" t="s">
        <v>51</v>
      </c>
      <c r="N9" s="6" t="s">
        <v>52</v>
      </c>
      <c r="O9" s="12" t="s">
        <v>46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1.80000000000001" x14ac:dyDescent="0.25">
      <c r="A10" s="5"/>
      <c r="B10" s="6" t="s">
        <v>53</v>
      </c>
      <c r="C10" s="6" t="s">
        <v>54</v>
      </c>
      <c r="D10" s="7" t="s">
        <v>55</v>
      </c>
      <c r="E10" s="6" t="s">
        <v>56</v>
      </c>
      <c r="F10" s="6" t="s">
        <v>49</v>
      </c>
      <c r="G10" s="7" t="s">
        <v>57</v>
      </c>
      <c r="H10" s="6" t="s">
        <v>32</v>
      </c>
      <c r="I10" s="6">
        <v>6</v>
      </c>
      <c r="J10" s="8" t="s">
        <v>93</v>
      </c>
      <c r="K10" s="6" t="s">
        <v>22</v>
      </c>
      <c r="L10" s="6" t="s">
        <v>80</v>
      </c>
      <c r="M10" s="6" t="s">
        <v>58</v>
      </c>
      <c r="N10" s="6" t="s">
        <v>59</v>
      </c>
      <c r="O10" s="9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0.4" x14ac:dyDescent="0.25">
      <c r="A11" s="13"/>
      <c r="B11" s="12" t="s">
        <v>61</v>
      </c>
      <c r="C11" s="12" t="s">
        <v>62</v>
      </c>
      <c r="D11" s="12" t="s">
        <v>63</v>
      </c>
      <c r="E11" s="12" t="s">
        <v>64</v>
      </c>
      <c r="F11" s="12" t="s">
        <v>65</v>
      </c>
      <c r="G11" s="12" t="s">
        <v>66</v>
      </c>
      <c r="H11" s="12" t="s">
        <v>42</v>
      </c>
      <c r="I11" s="12">
        <v>4</v>
      </c>
      <c r="J11" s="14">
        <v>45875</v>
      </c>
      <c r="K11" s="12" t="s">
        <v>22</v>
      </c>
      <c r="L11" s="12" t="s">
        <v>80</v>
      </c>
      <c r="M11" s="15" t="s">
        <v>67</v>
      </c>
      <c r="N11" s="12" t="s">
        <v>68</v>
      </c>
      <c r="O11" s="12" t="s">
        <v>62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94.5" customHeight="1" x14ac:dyDescent="0.25">
      <c r="A12" s="5"/>
      <c r="B12" s="6" t="s">
        <v>69</v>
      </c>
      <c r="C12" s="6" t="s">
        <v>70</v>
      </c>
      <c r="D12" s="6" t="s">
        <v>71</v>
      </c>
      <c r="E12" s="6" t="s">
        <v>72</v>
      </c>
      <c r="F12" s="6" t="s">
        <v>73</v>
      </c>
      <c r="G12" s="6" t="s">
        <v>74</v>
      </c>
      <c r="H12" s="6" t="s">
        <v>21</v>
      </c>
      <c r="I12" s="6">
        <v>6</v>
      </c>
      <c r="J12" s="8">
        <v>46302</v>
      </c>
      <c r="K12" s="6" t="s">
        <v>22</v>
      </c>
      <c r="L12" s="6" t="s">
        <v>80</v>
      </c>
      <c r="M12" s="11" t="s">
        <v>75</v>
      </c>
      <c r="N12" s="11" t="s">
        <v>76</v>
      </c>
      <c r="O12" s="9" t="s">
        <v>70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5"/>
      <c r="B13" s="16"/>
      <c r="C13" s="17"/>
      <c r="D13" s="17"/>
      <c r="E13" s="5"/>
      <c r="F13" s="17"/>
      <c r="G13" s="17"/>
      <c r="H13" s="17"/>
      <c r="I13" s="18"/>
      <c r="J13" s="19"/>
      <c r="K13" s="18"/>
      <c r="L13" s="18"/>
      <c r="M13" s="17"/>
      <c r="N13" s="17"/>
      <c r="O13" s="2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5"/>
      <c r="B14" s="16"/>
      <c r="C14" s="17"/>
      <c r="D14" s="17"/>
      <c r="E14" s="17"/>
      <c r="F14" s="17"/>
      <c r="G14" s="17"/>
      <c r="H14" s="17"/>
      <c r="I14" s="18"/>
      <c r="J14" s="19"/>
      <c r="K14" s="18"/>
      <c r="L14" s="18"/>
      <c r="M14" s="17"/>
      <c r="N14" s="21"/>
      <c r="O14" s="2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5"/>
      <c r="B15" s="16"/>
      <c r="C15" s="17"/>
      <c r="D15" s="17"/>
      <c r="E15" s="5"/>
      <c r="F15" s="17"/>
      <c r="G15" s="17"/>
      <c r="H15" s="17"/>
      <c r="I15" s="18"/>
      <c r="J15" s="19"/>
      <c r="K15" s="18"/>
      <c r="L15" s="18"/>
      <c r="M15" s="17"/>
      <c r="N15" s="17"/>
      <c r="O15" s="2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16"/>
      <c r="C16" s="17"/>
      <c r="D16" s="17"/>
      <c r="E16" s="17"/>
      <c r="F16" s="17"/>
      <c r="G16" s="17"/>
      <c r="H16" s="17"/>
      <c r="I16" s="18"/>
      <c r="J16" s="19"/>
      <c r="K16" s="18"/>
      <c r="L16" s="18"/>
      <c r="M16" s="21"/>
      <c r="N16" s="17"/>
      <c r="O16" s="2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16"/>
      <c r="C17" s="17"/>
      <c r="D17" s="17"/>
      <c r="E17" s="17"/>
      <c r="F17" s="17"/>
      <c r="G17" s="17"/>
      <c r="H17" s="17"/>
      <c r="I17" s="18"/>
      <c r="J17" s="19"/>
      <c r="K17" s="18"/>
      <c r="L17" s="18"/>
      <c r="M17" s="17" t="s">
        <v>77</v>
      </c>
      <c r="N17" s="17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5">
      <c r="A18" s="5"/>
      <c r="B18" s="5"/>
      <c r="C18" s="5"/>
      <c r="D18" s="5"/>
      <c r="E18" s="5"/>
      <c r="F18" s="5"/>
      <c r="G18" s="5"/>
      <c r="H18" s="5"/>
      <c r="I18" s="23"/>
      <c r="J18" s="23"/>
      <c r="K18" s="24"/>
      <c r="L18" s="23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5"/>
      <c r="B19" s="5"/>
      <c r="C19" s="5"/>
      <c r="D19" s="5"/>
      <c r="E19" s="5"/>
      <c r="F19" s="5"/>
      <c r="G19" s="5"/>
      <c r="H19" s="5"/>
      <c r="I19" s="23"/>
      <c r="J19" s="23"/>
      <c r="K19" s="24"/>
      <c r="L19" s="23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5"/>
      <c r="B20" s="5"/>
      <c r="C20" s="5"/>
      <c r="D20" s="5"/>
      <c r="E20" s="5"/>
      <c r="F20" s="5"/>
      <c r="G20" s="5"/>
      <c r="H20" s="21"/>
      <c r="I20" s="23"/>
      <c r="J20" s="23"/>
      <c r="K20" s="24"/>
      <c r="L20" s="23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5"/>
      <c r="B21" s="5"/>
      <c r="C21" s="5"/>
      <c r="D21" s="5"/>
      <c r="E21" s="5"/>
      <c r="F21" s="5"/>
      <c r="G21" s="5"/>
      <c r="H21" s="5"/>
      <c r="I21" s="23"/>
      <c r="J21" s="23"/>
      <c r="K21" s="24"/>
      <c r="L21" s="23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5"/>
      <c r="B22" s="5"/>
      <c r="C22" s="5"/>
      <c r="D22" s="5"/>
      <c r="E22" s="5"/>
      <c r="F22" s="5"/>
      <c r="G22" s="5"/>
      <c r="H22" s="5"/>
      <c r="I22" s="23"/>
      <c r="J22" s="23"/>
      <c r="K22" s="25"/>
      <c r="L22" s="23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5"/>
      <c r="B23" s="5"/>
      <c r="C23" s="5"/>
      <c r="D23" s="5"/>
      <c r="E23" s="5"/>
      <c r="F23" s="5"/>
      <c r="G23" s="5"/>
      <c r="H23" s="5"/>
      <c r="I23" s="23"/>
      <c r="J23" s="23"/>
      <c r="K23" s="25"/>
      <c r="L23" s="23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5"/>
      <c r="I24" s="23"/>
      <c r="J24" s="23"/>
      <c r="K24" s="24"/>
      <c r="L24" s="23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23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23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23"/>
      <c r="J27" s="5"/>
      <c r="K27" s="24" t="s">
        <v>22</v>
      </c>
      <c r="L27" s="24" t="s">
        <v>23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23"/>
      <c r="J28" s="5"/>
      <c r="K28" s="24" t="s">
        <v>33</v>
      </c>
      <c r="L28" s="24" t="s">
        <v>78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23"/>
      <c r="J29" s="5"/>
      <c r="K29" s="24" t="s">
        <v>79</v>
      </c>
      <c r="L29" s="24" t="s">
        <v>80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23"/>
      <c r="J30" s="5"/>
      <c r="K30" s="24"/>
      <c r="L30" s="24" t="s">
        <v>81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23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23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23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23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23"/>
      <c r="J35" s="23"/>
      <c r="K35" s="24"/>
      <c r="L35" s="23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23"/>
      <c r="J36" s="23"/>
      <c r="K36" s="24"/>
      <c r="L36" s="23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23"/>
      <c r="J37" s="23"/>
      <c r="K37" s="24"/>
      <c r="L37" s="23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23"/>
      <c r="J38" s="23"/>
      <c r="K38" s="24"/>
      <c r="L38" s="23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23"/>
      <c r="J39" s="23"/>
      <c r="K39" s="24"/>
      <c r="L39" s="23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23"/>
      <c r="J40" s="23"/>
      <c r="K40" s="24"/>
      <c r="L40" s="23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23"/>
      <c r="J41" s="23"/>
      <c r="K41" s="24"/>
      <c r="L41" s="23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23"/>
      <c r="J42" s="23"/>
      <c r="K42" s="24"/>
      <c r="L42" s="23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23"/>
      <c r="J43" s="23"/>
      <c r="K43" s="24"/>
      <c r="L43" s="23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23"/>
      <c r="J44" s="23"/>
      <c r="K44" s="24"/>
      <c r="L44" s="2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23"/>
      <c r="J45" s="23"/>
      <c r="K45" s="24"/>
      <c r="L45" s="2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23"/>
      <c r="J46" s="23"/>
      <c r="K46" s="24"/>
      <c r="L46" s="2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23"/>
      <c r="J47" s="23"/>
      <c r="K47" s="24"/>
      <c r="L47" s="2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23"/>
      <c r="J48" s="23"/>
      <c r="K48" s="24"/>
      <c r="L48" s="2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23"/>
      <c r="J49" s="23"/>
      <c r="K49" s="24"/>
      <c r="L49" s="2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23"/>
      <c r="J50" s="23"/>
      <c r="K50" s="24"/>
      <c r="L50" s="2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23"/>
      <c r="J51" s="23"/>
      <c r="K51" s="24"/>
      <c r="L51" s="23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23"/>
      <c r="J52" s="23"/>
      <c r="K52" s="24"/>
      <c r="L52" s="23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23"/>
      <c r="J53" s="23"/>
      <c r="K53" s="24"/>
      <c r="L53" s="23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23"/>
      <c r="J54" s="23"/>
      <c r="K54" s="24"/>
      <c r="L54" s="23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23"/>
      <c r="J55" s="23"/>
      <c r="K55" s="24"/>
      <c r="L55" s="2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23"/>
      <c r="J56" s="23"/>
      <c r="K56" s="24"/>
      <c r="L56" s="2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23"/>
      <c r="J57" s="23"/>
      <c r="K57" s="24"/>
      <c r="L57" s="2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23"/>
      <c r="J58" s="23"/>
      <c r="K58" s="24"/>
      <c r="L58" s="2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23"/>
      <c r="J59" s="23"/>
      <c r="K59" s="24"/>
      <c r="L59" s="2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23"/>
      <c r="J60" s="23"/>
      <c r="K60" s="24"/>
      <c r="L60" s="2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23"/>
      <c r="J61" s="23"/>
      <c r="K61" s="24"/>
      <c r="L61" s="2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23"/>
      <c r="J62" s="23"/>
      <c r="K62" s="24"/>
      <c r="L62" s="2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23"/>
      <c r="J63" s="23"/>
      <c r="K63" s="24"/>
      <c r="L63" s="2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23"/>
      <c r="J64" s="23"/>
      <c r="K64" s="24"/>
      <c r="L64" s="2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23"/>
      <c r="J65" s="23"/>
      <c r="K65" s="24"/>
      <c r="L65" s="2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23"/>
      <c r="J66" s="23"/>
      <c r="K66" s="24"/>
      <c r="L66" s="2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23"/>
      <c r="J67" s="23"/>
      <c r="K67" s="24"/>
      <c r="L67" s="2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23"/>
      <c r="J68" s="23"/>
      <c r="K68" s="24"/>
      <c r="L68" s="2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23"/>
      <c r="J69" s="23"/>
      <c r="K69" s="24"/>
      <c r="L69" s="2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23"/>
      <c r="J70" s="23"/>
      <c r="K70" s="24"/>
      <c r="L70" s="2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23"/>
      <c r="J71" s="23"/>
      <c r="K71" s="24"/>
      <c r="L71" s="2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23"/>
      <c r="J72" s="23"/>
      <c r="K72" s="24"/>
      <c r="L72" s="2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23"/>
      <c r="J73" s="23"/>
      <c r="K73" s="24"/>
      <c r="L73" s="2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23"/>
      <c r="J74" s="23"/>
      <c r="K74" s="24"/>
      <c r="L74" s="2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23"/>
      <c r="J75" s="23"/>
      <c r="K75" s="24"/>
      <c r="L75" s="2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23"/>
      <c r="J76" s="23"/>
      <c r="K76" s="24"/>
      <c r="L76" s="2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23"/>
      <c r="J77" s="23"/>
      <c r="K77" s="24"/>
      <c r="L77" s="2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23"/>
      <c r="J78" s="23"/>
      <c r="K78" s="24"/>
      <c r="L78" s="2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23"/>
      <c r="J79" s="23"/>
      <c r="K79" s="24"/>
      <c r="L79" s="2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23"/>
      <c r="J80" s="23"/>
      <c r="K80" s="24"/>
      <c r="L80" s="2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23"/>
      <c r="J81" s="23"/>
      <c r="K81" s="24"/>
      <c r="L81" s="2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23"/>
      <c r="J82" s="23"/>
      <c r="K82" s="24"/>
      <c r="L82" s="2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23"/>
      <c r="J83" s="23"/>
      <c r="K83" s="24"/>
      <c r="L83" s="2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23"/>
      <c r="J84" s="23"/>
      <c r="K84" s="24"/>
      <c r="L84" s="2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23"/>
      <c r="J85" s="23"/>
      <c r="K85" s="24"/>
      <c r="L85" s="2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23"/>
      <c r="J86" s="23"/>
      <c r="K86" s="24"/>
      <c r="L86" s="2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23"/>
      <c r="J87" s="23"/>
      <c r="K87" s="24"/>
      <c r="L87" s="2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23"/>
      <c r="J88" s="23"/>
      <c r="K88" s="24"/>
      <c r="L88" s="2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23"/>
      <c r="J89" s="23"/>
      <c r="K89" s="24"/>
      <c r="L89" s="2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23"/>
      <c r="J90" s="23"/>
      <c r="K90" s="24"/>
      <c r="L90" s="2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23"/>
      <c r="J91" s="23"/>
      <c r="K91" s="24"/>
      <c r="L91" s="2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23"/>
      <c r="J92" s="23"/>
      <c r="K92" s="24"/>
      <c r="L92" s="2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23"/>
      <c r="J93" s="23"/>
      <c r="K93" s="24"/>
      <c r="L93" s="2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23"/>
      <c r="J94" s="23"/>
      <c r="K94" s="24"/>
      <c r="L94" s="2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23"/>
      <c r="J95" s="23"/>
      <c r="K95" s="24"/>
      <c r="L95" s="2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23"/>
      <c r="J96" s="23"/>
      <c r="K96" s="24"/>
      <c r="L96" s="2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23"/>
      <c r="J97" s="23"/>
      <c r="K97" s="24"/>
      <c r="L97" s="2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23"/>
      <c r="J98" s="23"/>
      <c r="K98" s="24"/>
      <c r="L98" s="2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23"/>
      <c r="J99" s="23"/>
      <c r="K99" s="24"/>
      <c r="L99" s="2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23"/>
      <c r="J100" s="23"/>
      <c r="K100" s="24"/>
      <c r="L100" s="2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23"/>
      <c r="J101" s="23"/>
      <c r="K101" s="24"/>
      <c r="L101" s="2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23"/>
      <c r="J102" s="23"/>
      <c r="K102" s="24"/>
      <c r="L102" s="2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23"/>
      <c r="J103" s="23"/>
      <c r="K103" s="24"/>
      <c r="L103" s="2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23"/>
      <c r="J104" s="23"/>
      <c r="K104" s="24"/>
      <c r="L104" s="2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23"/>
      <c r="J105" s="23"/>
      <c r="K105" s="24"/>
      <c r="L105" s="2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23"/>
      <c r="J106" s="23"/>
      <c r="K106" s="24"/>
      <c r="L106" s="2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23"/>
      <c r="J107" s="23"/>
      <c r="K107" s="24"/>
      <c r="L107" s="2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23"/>
      <c r="J108" s="23"/>
      <c r="K108" s="24"/>
      <c r="L108" s="2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23"/>
      <c r="J109" s="23"/>
      <c r="K109" s="24"/>
      <c r="L109" s="2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23"/>
      <c r="J110" s="23"/>
      <c r="K110" s="24"/>
      <c r="L110" s="2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23"/>
      <c r="J111" s="23"/>
      <c r="K111" s="24"/>
      <c r="L111" s="2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23"/>
      <c r="J112" s="23"/>
      <c r="K112" s="24"/>
      <c r="L112" s="2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23"/>
      <c r="J113" s="23"/>
      <c r="K113" s="24"/>
      <c r="L113" s="2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23"/>
      <c r="J114" s="23"/>
      <c r="K114" s="24"/>
      <c r="L114" s="2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23"/>
      <c r="J115" s="23"/>
      <c r="K115" s="24"/>
      <c r="L115" s="2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23"/>
      <c r="J116" s="23"/>
      <c r="K116" s="24"/>
      <c r="L116" s="2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23"/>
      <c r="J117" s="23"/>
      <c r="K117" s="24"/>
      <c r="L117" s="2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23"/>
      <c r="J118" s="23"/>
      <c r="K118" s="24"/>
      <c r="L118" s="2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23"/>
      <c r="J119" s="23"/>
      <c r="K119" s="24"/>
      <c r="L119" s="2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23"/>
      <c r="J120" s="23"/>
      <c r="K120" s="24"/>
      <c r="L120" s="2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23"/>
      <c r="J121" s="23"/>
      <c r="K121" s="24"/>
      <c r="L121" s="2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23"/>
      <c r="J122" s="23"/>
      <c r="K122" s="24"/>
      <c r="L122" s="2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23"/>
      <c r="J123" s="23"/>
      <c r="K123" s="24"/>
      <c r="L123" s="2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23"/>
      <c r="J124" s="23"/>
      <c r="K124" s="24"/>
      <c r="L124" s="2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23"/>
      <c r="J125" s="23"/>
      <c r="K125" s="24"/>
      <c r="L125" s="2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23"/>
      <c r="J126" s="23"/>
      <c r="K126" s="24"/>
      <c r="L126" s="2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23"/>
      <c r="J127" s="23"/>
      <c r="K127" s="24"/>
      <c r="L127" s="2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23"/>
      <c r="J128" s="23"/>
      <c r="K128" s="24"/>
      <c r="L128" s="2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23"/>
      <c r="J129" s="23"/>
      <c r="K129" s="24"/>
      <c r="L129" s="2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23"/>
      <c r="J130" s="23"/>
      <c r="K130" s="24"/>
      <c r="L130" s="2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23"/>
      <c r="J131" s="23"/>
      <c r="K131" s="24"/>
      <c r="L131" s="2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23"/>
      <c r="J132" s="23"/>
      <c r="K132" s="24"/>
      <c r="L132" s="2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23"/>
      <c r="J133" s="23"/>
      <c r="K133" s="24"/>
      <c r="L133" s="2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23"/>
      <c r="J134" s="23"/>
      <c r="K134" s="24"/>
      <c r="L134" s="2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23"/>
      <c r="J135" s="23"/>
      <c r="K135" s="24"/>
      <c r="L135" s="2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23"/>
      <c r="J136" s="23"/>
      <c r="K136" s="24"/>
      <c r="L136" s="2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23"/>
      <c r="J137" s="23"/>
      <c r="K137" s="24"/>
      <c r="L137" s="2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23"/>
      <c r="J138" s="23"/>
      <c r="K138" s="24"/>
      <c r="L138" s="2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23"/>
      <c r="J139" s="23"/>
      <c r="K139" s="24"/>
      <c r="L139" s="2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23"/>
      <c r="J140" s="23"/>
      <c r="K140" s="24"/>
      <c r="L140" s="2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23"/>
      <c r="J141" s="23"/>
      <c r="K141" s="24"/>
      <c r="L141" s="2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23"/>
      <c r="J142" s="23"/>
      <c r="K142" s="24"/>
      <c r="L142" s="2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23"/>
      <c r="J143" s="23"/>
      <c r="K143" s="24"/>
      <c r="L143" s="2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23"/>
      <c r="J144" s="23"/>
      <c r="K144" s="24"/>
      <c r="L144" s="2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23"/>
      <c r="J145" s="23"/>
      <c r="K145" s="24"/>
      <c r="L145" s="2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23"/>
      <c r="J146" s="23"/>
      <c r="K146" s="24"/>
      <c r="L146" s="2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23"/>
      <c r="J147" s="23"/>
      <c r="K147" s="24"/>
      <c r="L147" s="2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23"/>
      <c r="J148" s="23"/>
      <c r="K148" s="24"/>
      <c r="L148" s="2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23"/>
      <c r="J149" s="23"/>
      <c r="K149" s="24"/>
      <c r="L149" s="2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23"/>
      <c r="J150" s="23"/>
      <c r="K150" s="24"/>
      <c r="L150" s="2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23"/>
      <c r="J151" s="23"/>
      <c r="K151" s="24"/>
      <c r="L151" s="2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23"/>
      <c r="J152" s="23"/>
      <c r="K152" s="24"/>
      <c r="L152" s="2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23"/>
      <c r="J153" s="23"/>
      <c r="K153" s="24"/>
      <c r="L153" s="2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23"/>
      <c r="J154" s="23"/>
      <c r="K154" s="24"/>
      <c r="L154" s="2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23"/>
      <c r="J155" s="23"/>
      <c r="K155" s="24"/>
      <c r="L155" s="2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23"/>
      <c r="J156" s="23"/>
      <c r="K156" s="24"/>
      <c r="L156" s="2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23"/>
      <c r="J157" s="23"/>
      <c r="K157" s="24"/>
      <c r="L157" s="2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23"/>
      <c r="J158" s="23"/>
      <c r="K158" s="24"/>
      <c r="L158" s="2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23"/>
      <c r="J159" s="23"/>
      <c r="K159" s="24"/>
      <c r="L159" s="2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23"/>
      <c r="J160" s="23"/>
      <c r="K160" s="24"/>
      <c r="L160" s="2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23"/>
      <c r="J161" s="23"/>
      <c r="K161" s="24"/>
      <c r="L161" s="2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23"/>
      <c r="J162" s="23"/>
      <c r="K162" s="24"/>
      <c r="L162" s="2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23"/>
      <c r="J163" s="23"/>
      <c r="K163" s="24"/>
      <c r="L163" s="2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23"/>
      <c r="J164" s="23"/>
      <c r="K164" s="24"/>
      <c r="L164" s="2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23"/>
      <c r="J165" s="23"/>
      <c r="K165" s="24"/>
      <c r="L165" s="2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23"/>
      <c r="J166" s="23"/>
      <c r="K166" s="24"/>
      <c r="L166" s="2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23"/>
      <c r="J167" s="23"/>
      <c r="K167" s="24"/>
      <c r="L167" s="2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23"/>
      <c r="J168" s="23"/>
      <c r="K168" s="24"/>
      <c r="L168" s="2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23"/>
      <c r="J169" s="23"/>
      <c r="K169" s="24"/>
      <c r="L169" s="2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23"/>
      <c r="J170" s="23"/>
      <c r="K170" s="24"/>
      <c r="L170" s="2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23"/>
      <c r="J171" s="23"/>
      <c r="K171" s="24"/>
      <c r="L171" s="2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23"/>
      <c r="J172" s="23"/>
      <c r="K172" s="24"/>
      <c r="L172" s="2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23"/>
      <c r="J173" s="23"/>
      <c r="K173" s="24"/>
      <c r="L173" s="2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23"/>
      <c r="J174" s="23"/>
      <c r="K174" s="24"/>
      <c r="L174" s="2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23"/>
      <c r="J175" s="23"/>
      <c r="K175" s="24"/>
      <c r="L175" s="2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23"/>
      <c r="J176" s="23"/>
      <c r="K176" s="24"/>
      <c r="L176" s="2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23"/>
      <c r="J177" s="23"/>
      <c r="K177" s="24"/>
      <c r="L177" s="2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23"/>
      <c r="J178" s="23"/>
      <c r="K178" s="24"/>
      <c r="L178" s="2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23"/>
      <c r="J179" s="23"/>
      <c r="K179" s="24"/>
      <c r="L179" s="2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23"/>
      <c r="J180" s="23"/>
      <c r="K180" s="24"/>
      <c r="L180" s="2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23"/>
      <c r="J181" s="23"/>
      <c r="K181" s="24"/>
      <c r="L181" s="2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23"/>
      <c r="J182" s="23"/>
      <c r="K182" s="24"/>
      <c r="L182" s="2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23"/>
      <c r="J183" s="23"/>
      <c r="K183" s="24"/>
      <c r="L183" s="2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23"/>
      <c r="J184" s="23"/>
      <c r="K184" s="24"/>
      <c r="L184" s="2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23"/>
      <c r="J185" s="23"/>
      <c r="K185" s="24"/>
      <c r="L185" s="2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23"/>
      <c r="J186" s="23"/>
      <c r="K186" s="24"/>
      <c r="L186" s="2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23"/>
      <c r="J187" s="23"/>
      <c r="K187" s="24"/>
      <c r="L187" s="2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23"/>
      <c r="J188" s="23"/>
      <c r="K188" s="24"/>
      <c r="L188" s="2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23"/>
      <c r="J189" s="23"/>
      <c r="K189" s="24"/>
      <c r="L189" s="2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23"/>
      <c r="J190" s="23"/>
      <c r="K190" s="24"/>
      <c r="L190" s="2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23"/>
      <c r="J191" s="23"/>
      <c r="K191" s="24"/>
      <c r="L191" s="2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23"/>
      <c r="J192" s="23"/>
      <c r="K192" s="24"/>
      <c r="L192" s="2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23"/>
      <c r="J193" s="23"/>
      <c r="K193" s="24"/>
      <c r="L193" s="2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23"/>
      <c r="J194" s="23"/>
      <c r="K194" s="24"/>
      <c r="L194" s="2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23"/>
      <c r="J195" s="23"/>
      <c r="K195" s="24"/>
      <c r="L195" s="2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23"/>
      <c r="J196" s="23"/>
      <c r="K196" s="24"/>
      <c r="L196" s="2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23"/>
      <c r="J197" s="23"/>
      <c r="K197" s="24"/>
      <c r="L197" s="2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23"/>
      <c r="J198" s="23"/>
      <c r="K198" s="24"/>
      <c r="L198" s="2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23"/>
      <c r="J199" s="23"/>
      <c r="K199" s="24"/>
      <c r="L199" s="2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23"/>
      <c r="J200" s="23"/>
      <c r="K200" s="24"/>
      <c r="L200" s="2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23"/>
      <c r="J201" s="23"/>
      <c r="K201" s="24"/>
      <c r="L201" s="2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23"/>
      <c r="J202" s="23"/>
      <c r="K202" s="24"/>
      <c r="L202" s="2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23"/>
      <c r="J203" s="23"/>
      <c r="K203" s="24"/>
      <c r="L203" s="2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23"/>
      <c r="J204" s="23"/>
      <c r="K204" s="24"/>
      <c r="L204" s="2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23"/>
      <c r="J205" s="23"/>
      <c r="K205" s="24"/>
      <c r="L205" s="2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23"/>
      <c r="J206" s="23"/>
      <c r="K206" s="24"/>
      <c r="L206" s="2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23"/>
      <c r="J207" s="23"/>
      <c r="K207" s="24"/>
      <c r="L207" s="2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23"/>
      <c r="J208" s="23"/>
      <c r="K208" s="24"/>
      <c r="L208" s="2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23"/>
      <c r="J209" s="23"/>
      <c r="K209" s="24"/>
      <c r="L209" s="2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23"/>
      <c r="J210" s="23"/>
      <c r="K210" s="24"/>
      <c r="L210" s="2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23"/>
      <c r="J211" s="23"/>
      <c r="K211" s="24"/>
      <c r="L211" s="2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23"/>
      <c r="J212" s="23"/>
      <c r="K212" s="24"/>
      <c r="L212" s="2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23"/>
      <c r="J213" s="23"/>
      <c r="K213" s="24"/>
      <c r="L213" s="2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23"/>
      <c r="J214" s="23"/>
      <c r="K214" s="24"/>
      <c r="L214" s="2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23"/>
      <c r="J215" s="23"/>
      <c r="K215" s="24"/>
      <c r="L215" s="2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23"/>
      <c r="J216" s="23"/>
      <c r="K216" s="24"/>
      <c r="L216" s="2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23"/>
      <c r="J217" s="23"/>
      <c r="K217" s="24"/>
      <c r="L217" s="2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23"/>
      <c r="J218" s="23"/>
      <c r="K218" s="24"/>
      <c r="L218" s="2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23"/>
      <c r="J219" s="23"/>
      <c r="K219" s="24"/>
      <c r="L219" s="2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23"/>
      <c r="J220" s="23"/>
      <c r="K220" s="24"/>
      <c r="L220" s="2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23"/>
      <c r="J221" s="23"/>
      <c r="K221" s="24"/>
      <c r="L221" s="2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23"/>
      <c r="J222" s="23"/>
      <c r="K222" s="24"/>
      <c r="L222" s="2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23"/>
      <c r="J223" s="23"/>
      <c r="K223" s="24"/>
      <c r="L223" s="2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23"/>
      <c r="J224" s="23"/>
      <c r="K224" s="24"/>
      <c r="L224" s="2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23"/>
      <c r="J225" s="23"/>
      <c r="K225" s="24"/>
      <c r="L225" s="2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23"/>
      <c r="J226" s="23"/>
      <c r="K226" s="24"/>
      <c r="L226" s="2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23"/>
      <c r="J227" s="23"/>
      <c r="K227" s="24"/>
      <c r="L227" s="2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23"/>
      <c r="J228" s="23"/>
      <c r="K228" s="24"/>
      <c r="L228" s="2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23"/>
      <c r="J229" s="23"/>
      <c r="K229" s="24"/>
      <c r="L229" s="2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23"/>
      <c r="J230" s="23"/>
      <c r="K230" s="24"/>
      <c r="L230" s="2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23"/>
      <c r="J231" s="23"/>
      <c r="K231" s="24"/>
      <c r="L231" s="2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23"/>
      <c r="J232" s="23"/>
      <c r="K232" s="24"/>
      <c r="L232" s="2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23"/>
      <c r="J233" s="23"/>
      <c r="K233" s="24"/>
      <c r="L233" s="23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23"/>
      <c r="J234" s="23"/>
      <c r="K234" s="24"/>
      <c r="L234" s="23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23"/>
      <c r="J235" s="23"/>
      <c r="K235" s="24"/>
      <c r="L235" s="23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23"/>
      <c r="J236" s="23"/>
      <c r="K236" s="24"/>
      <c r="L236" s="23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23"/>
      <c r="J237" s="23"/>
      <c r="K237" s="24"/>
      <c r="L237" s="23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23"/>
      <c r="J238" s="23"/>
      <c r="K238" s="24"/>
      <c r="L238" s="23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23"/>
      <c r="J239" s="23"/>
      <c r="K239" s="24"/>
      <c r="L239" s="23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23"/>
      <c r="J240" s="23"/>
      <c r="K240" s="24"/>
      <c r="L240" s="23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23"/>
      <c r="J241" s="23"/>
      <c r="K241" s="24"/>
      <c r="L241" s="23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23"/>
      <c r="J242" s="23"/>
      <c r="K242" s="24"/>
      <c r="L242" s="23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23"/>
      <c r="J243" s="23"/>
      <c r="K243" s="24"/>
      <c r="L243" s="23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23"/>
      <c r="J244" s="23"/>
      <c r="K244" s="24"/>
      <c r="L244" s="23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23"/>
      <c r="J245" s="23"/>
      <c r="K245" s="24"/>
      <c r="L245" s="23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23"/>
      <c r="J246" s="23"/>
      <c r="K246" s="24"/>
      <c r="L246" s="23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23"/>
      <c r="J247" s="23"/>
      <c r="K247" s="24"/>
      <c r="L247" s="23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23"/>
      <c r="J248" s="23"/>
      <c r="K248" s="24"/>
      <c r="L248" s="23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23"/>
      <c r="J249" s="23"/>
      <c r="K249" s="24"/>
      <c r="L249" s="23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23"/>
      <c r="J250" s="23"/>
      <c r="K250" s="24"/>
      <c r="L250" s="23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23"/>
      <c r="J251" s="23"/>
      <c r="K251" s="24"/>
      <c r="L251" s="23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23"/>
      <c r="J252" s="23"/>
      <c r="K252" s="24"/>
      <c r="L252" s="23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23"/>
      <c r="J253" s="23"/>
      <c r="K253" s="24"/>
      <c r="L253" s="23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23"/>
      <c r="J254" s="23"/>
      <c r="K254" s="24"/>
      <c r="L254" s="23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23"/>
      <c r="J255" s="23"/>
      <c r="K255" s="24"/>
      <c r="L255" s="23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23"/>
      <c r="J256" s="23"/>
      <c r="K256" s="24"/>
      <c r="L256" s="23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23"/>
      <c r="J257" s="23"/>
      <c r="K257" s="24"/>
      <c r="L257" s="23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23"/>
      <c r="J258" s="23"/>
      <c r="K258" s="24"/>
      <c r="L258" s="23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23"/>
      <c r="J259" s="23"/>
      <c r="K259" s="24"/>
      <c r="L259" s="23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23"/>
      <c r="J260" s="23"/>
      <c r="K260" s="24"/>
      <c r="L260" s="23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23"/>
      <c r="J261" s="23"/>
      <c r="K261" s="24"/>
      <c r="L261" s="23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23"/>
      <c r="J262" s="23"/>
      <c r="K262" s="24"/>
      <c r="L262" s="23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23"/>
      <c r="J263" s="23"/>
      <c r="K263" s="24"/>
      <c r="L263" s="23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23"/>
      <c r="J264" s="23"/>
      <c r="K264" s="24"/>
      <c r="L264" s="23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23"/>
      <c r="J265" s="23"/>
      <c r="K265" s="24"/>
      <c r="L265" s="23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23"/>
      <c r="J266" s="23"/>
      <c r="K266" s="24"/>
      <c r="L266" s="23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23"/>
      <c r="J267" s="23"/>
      <c r="K267" s="24"/>
      <c r="L267" s="23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23"/>
      <c r="J268" s="23"/>
      <c r="K268" s="24"/>
      <c r="L268" s="23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23"/>
      <c r="J269" s="23"/>
      <c r="K269" s="24"/>
      <c r="L269" s="23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23"/>
      <c r="J270" s="23"/>
      <c r="K270" s="24"/>
      <c r="L270" s="23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23"/>
      <c r="J271" s="23"/>
      <c r="K271" s="24"/>
      <c r="L271" s="23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23"/>
      <c r="J272" s="23"/>
      <c r="K272" s="24"/>
      <c r="L272" s="23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23"/>
      <c r="J273" s="23"/>
      <c r="K273" s="24"/>
      <c r="L273" s="23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23"/>
      <c r="J274" s="23"/>
      <c r="K274" s="24"/>
      <c r="L274" s="23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23"/>
      <c r="J275" s="23"/>
      <c r="K275" s="24"/>
      <c r="L275" s="23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23"/>
      <c r="J276" s="23"/>
      <c r="K276" s="24"/>
      <c r="L276" s="23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23"/>
      <c r="J277" s="23"/>
      <c r="K277" s="24"/>
      <c r="L277" s="23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23"/>
      <c r="J278" s="23"/>
      <c r="K278" s="24"/>
      <c r="L278" s="23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23"/>
      <c r="J279" s="23"/>
      <c r="K279" s="24"/>
      <c r="L279" s="23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23"/>
      <c r="J280" s="23"/>
      <c r="K280" s="24"/>
      <c r="L280" s="23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23"/>
      <c r="J281" s="23"/>
      <c r="K281" s="24"/>
      <c r="L281" s="23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23"/>
      <c r="J282" s="23"/>
      <c r="K282" s="24"/>
      <c r="L282" s="23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23"/>
      <c r="J283" s="23"/>
      <c r="K283" s="24"/>
      <c r="L283" s="23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23"/>
      <c r="J284" s="23"/>
      <c r="K284" s="24"/>
      <c r="L284" s="23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23"/>
      <c r="J285" s="23"/>
      <c r="K285" s="24"/>
      <c r="L285" s="23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23"/>
      <c r="J286" s="23"/>
      <c r="K286" s="24"/>
      <c r="L286" s="23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23"/>
      <c r="J287" s="23"/>
      <c r="K287" s="24"/>
      <c r="L287" s="23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23"/>
      <c r="J288" s="23"/>
      <c r="K288" s="24"/>
      <c r="L288" s="23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23"/>
      <c r="J289" s="23"/>
      <c r="K289" s="24"/>
      <c r="L289" s="23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23"/>
      <c r="J290" s="23"/>
      <c r="K290" s="24"/>
      <c r="L290" s="23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23"/>
      <c r="J291" s="23"/>
      <c r="K291" s="24"/>
      <c r="L291" s="23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23"/>
      <c r="J292" s="23"/>
      <c r="K292" s="24"/>
      <c r="L292" s="23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23"/>
      <c r="J293" s="23"/>
      <c r="K293" s="24"/>
      <c r="L293" s="23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23"/>
      <c r="J294" s="23"/>
      <c r="K294" s="24"/>
      <c r="L294" s="23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23"/>
      <c r="J295" s="23"/>
      <c r="K295" s="24"/>
      <c r="L295" s="23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23"/>
      <c r="J296" s="23"/>
      <c r="K296" s="24"/>
      <c r="L296" s="23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23"/>
      <c r="J297" s="23"/>
      <c r="K297" s="24"/>
      <c r="L297" s="23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23"/>
      <c r="J298" s="23"/>
      <c r="K298" s="24"/>
      <c r="L298" s="23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23"/>
      <c r="J299" s="23"/>
      <c r="K299" s="24"/>
      <c r="L299" s="23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23"/>
      <c r="J300" s="23"/>
      <c r="K300" s="24"/>
      <c r="L300" s="23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23"/>
      <c r="J301" s="23"/>
      <c r="K301" s="24"/>
      <c r="L301" s="23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23"/>
      <c r="J302" s="23"/>
      <c r="K302" s="24"/>
      <c r="L302" s="23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23"/>
      <c r="J303" s="23"/>
      <c r="K303" s="24"/>
      <c r="L303" s="23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23"/>
      <c r="J304" s="23"/>
      <c r="K304" s="24"/>
      <c r="L304" s="23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23"/>
      <c r="J305" s="23"/>
      <c r="K305" s="24"/>
      <c r="L305" s="23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23"/>
      <c r="J306" s="23"/>
      <c r="K306" s="24"/>
      <c r="L306" s="23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23"/>
      <c r="J307" s="23"/>
      <c r="K307" s="24"/>
      <c r="L307" s="23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23"/>
      <c r="J308" s="23"/>
      <c r="K308" s="24"/>
      <c r="L308" s="23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23"/>
      <c r="J309" s="23"/>
      <c r="K309" s="24"/>
      <c r="L309" s="23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23"/>
      <c r="J310" s="23"/>
      <c r="K310" s="24"/>
      <c r="L310" s="23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23"/>
      <c r="J311" s="23"/>
      <c r="K311" s="24"/>
      <c r="L311" s="23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23"/>
      <c r="J312" s="23"/>
      <c r="K312" s="24"/>
      <c r="L312" s="23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23"/>
      <c r="J313" s="23"/>
      <c r="K313" s="24"/>
      <c r="L313" s="23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23"/>
      <c r="J314" s="23"/>
      <c r="K314" s="24"/>
      <c r="L314" s="23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23"/>
      <c r="J315" s="23"/>
      <c r="K315" s="24"/>
      <c r="L315" s="23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23"/>
      <c r="J316" s="23"/>
      <c r="K316" s="24"/>
      <c r="L316" s="23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23"/>
      <c r="J317" s="23"/>
      <c r="K317" s="24"/>
      <c r="L317" s="23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23"/>
      <c r="J318" s="23"/>
      <c r="K318" s="24"/>
      <c r="L318" s="23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23"/>
      <c r="J319" s="23"/>
      <c r="K319" s="24"/>
      <c r="L319" s="23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23"/>
      <c r="J320" s="23"/>
      <c r="K320" s="24"/>
      <c r="L320" s="23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23"/>
      <c r="J321" s="23"/>
      <c r="K321" s="24"/>
      <c r="L321" s="23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23"/>
      <c r="J322" s="23"/>
      <c r="K322" s="24"/>
      <c r="L322" s="23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23"/>
      <c r="J323" s="23"/>
      <c r="K323" s="24"/>
      <c r="L323" s="23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23"/>
      <c r="J324" s="23"/>
      <c r="K324" s="24"/>
      <c r="L324" s="23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23"/>
      <c r="J325" s="23"/>
      <c r="K325" s="24"/>
      <c r="L325" s="23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23"/>
      <c r="J326" s="23"/>
      <c r="K326" s="24"/>
      <c r="L326" s="23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23"/>
      <c r="J327" s="23"/>
      <c r="K327" s="24"/>
      <c r="L327" s="23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23"/>
      <c r="J328" s="23"/>
      <c r="K328" s="24"/>
      <c r="L328" s="23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23"/>
      <c r="J329" s="23"/>
      <c r="K329" s="24"/>
      <c r="L329" s="23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23"/>
      <c r="J330" s="23"/>
      <c r="K330" s="24"/>
      <c r="L330" s="23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23"/>
      <c r="J331" s="23"/>
      <c r="K331" s="24"/>
      <c r="L331" s="23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23"/>
      <c r="J332" s="23"/>
      <c r="K332" s="24"/>
      <c r="L332" s="23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23"/>
      <c r="J333" s="23"/>
      <c r="K333" s="24"/>
      <c r="L333" s="23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23"/>
      <c r="J334" s="23"/>
      <c r="K334" s="24"/>
      <c r="L334" s="23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23"/>
      <c r="J335" s="23"/>
      <c r="K335" s="24"/>
      <c r="L335" s="23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23"/>
      <c r="J336" s="23"/>
      <c r="K336" s="24"/>
      <c r="L336" s="23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23"/>
      <c r="J337" s="23"/>
      <c r="K337" s="24"/>
      <c r="L337" s="23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23"/>
      <c r="J338" s="23"/>
      <c r="K338" s="24"/>
      <c r="L338" s="23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23"/>
      <c r="J339" s="23"/>
      <c r="K339" s="24"/>
      <c r="L339" s="23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23"/>
      <c r="J340" s="23"/>
      <c r="K340" s="24"/>
      <c r="L340" s="23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23"/>
      <c r="J341" s="23"/>
      <c r="K341" s="24"/>
      <c r="L341" s="23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23"/>
      <c r="J342" s="23"/>
      <c r="K342" s="24"/>
      <c r="L342" s="23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23"/>
      <c r="J343" s="23"/>
      <c r="K343" s="24"/>
      <c r="L343" s="23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23"/>
      <c r="J344" s="23"/>
      <c r="K344" s="24"/>
      <c r="L344" s="23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23"/>
      <c r="J345" s="23"/>
      <c r="K345" s="24"/>
      <c r="L345" s="23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23"/>
      <c r="J346" s="23"/>
      <c r="K346" s="24"/>
      <c r="L346" s="23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23"/>
      <c r="J347" s="23"/>
      <c r="K347" s="24"/>
      <c r="L347" s="23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23"/>
      <c r="J348" s="23"/>
      <c r="K348" s="24"/>
      <c r="L348" s="23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23"/>
      <c r="J349" s="23"/>
      <c r="K349" s="24"/>
      <c r="L349" s="23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23"/>
      <c r="J350" s="23"/>
      <c r="K350" s="24"/>
      <c r="L350" s="23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23"/>
      <c r="J351" s="23"/>
      <c r="K351" s="24"/>
      <c r="L351" s="23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23"/>
      <c r="J352" s="23"/>
      <c r="K352" s="24"/>
      <c r="L352" s="23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23"/>
      <c r="J353" s="23"/>
      <c r="K353" s="24"/>
      <c r="L353" s="23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23"/>
      <c r="J354" s="23"/>
      <c r="K354" s="24"/>
      <c r="L354" s="23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23"/>
      <c r="J355" s="23"/>
      <c r="K355" s="24"/>
      <c r="L355" s="23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23"/>
      <c r="J356" s="23"/>
      <c r="K356" s="24"/>
      <c r="L356" s="23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23"/>
      <c r="J357" s="23"/>
      <c r="K357" s="24"/>
      <c r="L357" s="23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23"/>
      <c r="J358" s="23"/>
      <c r="K358" s="24"/>
      <c r="L358" s="23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23"/>
      <c r="J359" s="23"/>
      <c r="K359" s="24"/>
      <c r="L359" s="23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23"/>
      <c r="J360" s="23"/>
      <c r="K360" s="24"/>
      <c r="L360" s="23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23"/>
      <c r="J361" s="23"/>
      <c r="K361" s="24"/>
      <c r="L361" s="23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23"/>
      <c r="J362" s="23"/>
      <c r="K362" s="24"/>
      <c r="L362" s="23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23"/>
      <c r="J363" s="23"/>
      <c r="K363" s="24"/>
      <c r="L363" s="23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23"/>
      <c r="J364" s="23"/>
      <c r="K364" s="24"/>
      <c r="L364" s="23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23"/>
      <c r="J365" s="23"/>
      <c r="K365" s="24"/>
      <c r="L365" s="23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23"/>
      <c r="J366" s="23"/>
      <c r="K366" s="24"/>
      <c r="L366" s="23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23"/>
      <c r="J367" s="23"/>
      <c r="K367" s="24"/>
      <c r="L367" s="23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23"/>
      <c r="J368" s="23"/>
      <c r="K368" s="24"/>
      <c r="L368" s="23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23"/>
      <c r="J369" s="23"/>
      <c r="K369" s="24"/>
      <c r="L369" s="23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23"/>
      <c r="J370" s="23"/>
      <c r="K370" s="24"/>
      <c r="L370" s="23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23"/>
      <c r="J371" s="23"/>
      <c r="K371" s="24"/>
      <c r="L371" s="23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23"/>
      <c r="J372" s="23"/>
      <c r="K372" s="24"/>
      <c r="L372" s="23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23"/>
      <c r="J373" s="23"/>
      <c r="K373" s="24"/>
      <c r="L373" s="23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23"/>
      <c r="J374" s="23"/>
      <c r="K374" s="24"/>
      <c r="L374" s="23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23"/>
      <c r="J375" s="23"/>
      <c r="K375" s="24"/>
      <c r="L375" s="23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23"/>
      <c r="J376" s="23"/>
      <c r="K376" s="24"/>
      <c r="L376" s="23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23"/>
      <c r="J377" s="23"/>
      <c r="K377" s="24"/>
      <c r="L377" s="23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23"/>
      <c r="J378" s="23"/>
      <c r="K378" s="24"/>
      <c r="L378" s="23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23"/>
      <c r="J379" s="23"/>
      <c r="K379" s="24"/>
      <c r="L379" s="23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23"/>
      <c r="J380" s="23"/>
      <c r="K380" s="24"/>
      <c r="L380" s="23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23"/>
      <c r="J381" s="23"/>
      <c r="K381" s="24"/>
      <c r="L381" s="23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23"/>
      <c r="J382" s="23"/>
      <c r="K382" s="24"/>
      <c r="L382" s="23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23"/>
      <c r="J383" s="23"/>
      <c r="K383" s="24"/>
      <c r="L383" s="23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23"/>
      <c r="J384" s="23"/>
      <c r="K384" s="24"/>
      <c r="L384" s="23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23"/>
      <c r="J385" s="23"/>
      <c r="K385" s="24"/>
      <c r="L385" s="23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23"/>
      <c r="J386" s="23"/>
      <c r="K386" s="24"/>
      <c r="L386" s="23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23"/>
      <c r="J387" s="23"/>
      <c r="K387" s="24"/>
      <c r="L387" s="23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23"/>
      <c r="J388" s="23"/>
      <c r="K388" s="24"/>
      <c r="L388" s="23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23"/>
      <c r="J389" s="23"/>
      <c r="K389" s="24"/>
      <c r="L389" s="23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23"/>
      <c r="J390" s="23"/>
      <c r="K390" s="24"/>
      <c r="L390" s="23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23"/>
      <c r="J391" s="23"/>
      <c r="K391" s="24"/>
      <c r="L391" s="23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23"/>
      <c r="J392" s="23"/>
      <c r="K392" s="24"/>
      <c r="L392" s="23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23"/>
      <c r="J393" s="23"/>
      <c r="K393" s="24"/>
      <c r="L393" s="23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23"/>
      <c r="J394" s="23"/>
      <c r="K394" s="24"/>
      <c r="L394" s="23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23"/>
      <c r="J395" s="23"/>
      <c r="K395" s="24"/>
      <c r="L395" s="23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23"/>
      <c r="J396" s="23"/>
      <c r="K396" s="24"/>
      <c r="L396" s="23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23"/>
      <c r="J397" s="23"/>
      <c r="K397" s="24"/>
      <c r="L397" s="23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23"/>
      <c r="J398" s="23"/>
      <c r="K398" s="24"/>
      <c r="L398" s="23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23"/>
      <c r="J399" s="23"/>
      <c r="K399" s="24"/>
      <c r="L399" s="23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23"/>
      <c r="J400" s="23"/>
      <c r="K400" s="24"/>
      <c r="L400" s="23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23"/>
      <c r="J401" s="23"/>
      <c r="K401" s="24"/>
      <c r="L401" s="23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23"/>
      <c r="J402" s="23"/>
      <c r="K402" s="24"/>
      <c r="L402" s="23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23"/>
      <c r="J403" s="23"/>
      <c r="K403" s="24"/>
      <c r="L403" s="23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23"/>
      <c r="J404" s="23"/>
      <c r="K404" s="24"/>
      <c r="L404" s="23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23"/>
      <c r="J405" s="23"/>
      <c r="K405" s="24"/>
      <c r="L405" s="23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23"/>
      <c r="J406" s="23"/>
      <c r="K406" s="24"/>
      <c r="L406" s="23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23"/>
      <c r="J407" s="23"/>
      <c r="K407" s="24"/>
      <c r="L407" s="23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23"/>
      <c r="J408" s="23"/>
      <c r="K408" s="24"/>
      <c r="L408" s="23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23"/>
      <c r="J409" s="23"/>
      <c r="K409" s="24"/>
      <c r="L409" s="23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23"/>
      <c r="J410" s="23"/>
      <c r="K410" s="24"/>
      <c r="L410" s="23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23"/>
      <c r="J411" s="23"/>
      <c r="K411" s="24"/>
      <c r="L411" s="23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23"/>
      <c r="J412" s="23"/>
      <c r="K412" s="24"/>
      <c r="L412" s="23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23"/>
      <c r="J413" s="23"/>
      <c r="K413" s="24"/>
      <c r="L413" s="23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23"/>
      <c r="J414" s="23"/>
      <c r="K414" s="24"/>
      <c r="L414" s="23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23"/>
      <c r="J415" s="23"/>
      <c r="K415" s="24"/>
      <c r="L415" s="23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23"/>
      <c r="J416" s="23"/>
      <c r="K416" s="24"/>
      <c r="L416" s="23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23"/>
      <c r="J417" s="23"/>
      <c r="K417" s="24"/>
      <c r="L417" s="23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23"/>
      <c r="J418" s="23"/>
      <c r="K418" s="24"/>
      <c r="L418" s="23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23"/>
      <c r="J419" s="23"/>
      <c r="K419" s="24"/>
      <c r="L419" s="23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23"/>
      <c r="J420" s="23"/>
      <c r="K420" s="24"/>
      <c r="L420" s="23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23"/>
      <c r="J421" s="23"/>
      <c r="K421" s="24"/>
      <c r="L421" s="23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23"/>
      <c r="J422" s="23"/>
      <c r="K422" s="24"/>
      <c r="L422" s="23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23"/>
      <c r="J423" s="23"/>
      <c r="K423" s="24"/>
      <c r="L423" s="23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23"/>
      <c r="J424" s="23"/>
      <c r="K424" s="24"/>
      <c r="L424" s="23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23"/>
      <c r="J425" s="23"/>
      <c r="K425" s="24"/>
      <c r="L425" s="23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23"/>
      <c r="J426" s="23"/>
      <c r="K426" s="24"/>
      <c r="L426" s="23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23"/>
      <c r="J427" s="23"/>
      <c r="K427" s="24"/>
      <c r="L427" s="23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23"/>
      <c r="J428" s="23"/>
      <c r="K428" s="24"/>
      <c r="L428" s="23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23"/>
      <c r="J429" s="23"/>
      <c r="K429" s="24"/>
      <c r="L429" s="23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23"/>
      <c r="J430" s="23"/>
      <c r="K430" s="24"/>
      <c r="L430" s="23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23"/>
      <c r="J431" s="23"/>
      <c r="K431" s="24"/>
      <c r="L431" s="23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23"/>
      <c r="J432" s="23"/>
      <c r="K432" s="24"/>
      <c r="L432" s="23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23"/>
      <c r="J433" s="23"/>
      <c r="K433" s="24"/>
      <c r="L433" s="23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23"/>
      <c r="J434" s="23"/>
      <c r="K434" s="24"/>
      <c r="L434" s="23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23"/>
      <c r="J435" s="23"/>
      <c r="K435" s="24"/>
      <c r="L435" s="23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23"/>
      <c r="J436" s="23"/>
      <c r="K436" s="24"/>
      <c r="L436" s="23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23"/>
      <c r="J437" s="23"/>
      <c r="K437" s="24"/>
      <c r="L437" s="23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23"/>
      <c r="J438" s="23"/>
      <c r="K438" s="24"/>
      <c r="L438" s="23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23"/>
      <c r="J439" s="23"/>
      <c r="K439" s="24"/>
      <c r="L439" s="23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23"/>
      <c r="J440" s="23"/>
      <c r="K440" s="24"/>
      <c r="L440" s="23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23"/>
      <c r="J441" s="23"/>
      <c r="K441" s="24"/>
      <c r="L441" s="23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23"/>
      <c r="J442" s="23"/>
      <c r="K442" s="24"/>
      <c r="L442" s="23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23"/>
      <c r="J443" s="23"/>
      <c r="K443" s="24"/>
      <c r="L443" s="23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23"/>
      <c r="J444" s="23"/>
      <c r="K444" s="24"/>
      <c r="L444" s="23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23"/>
      <c r="J445" s="23"/>
      <c r="K445" s="24"/>
      <c r="L445" s="23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23"/>
      <c r="J446" s="23"/>
      <c r="K446" s="24"/>
      <c r="L446" s="23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23"/>
      <c r="J447" s="23"/>
      <c r="K447" s="24"/>
      <c r="L447" s="23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23"/>
      <c r="J448" s="23"/>
      <c r="K448" s="24"/>
      <c r="L448" s="23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23"/>
      <c r="J449" s="23"/>
      <c r="K449" s="24"/>
      <c r="L449" s="23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23"/>
      <c r="J450" s="23"/>
      <c r="K450" s="24"/>
      <c r="L450" s="23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23"/>
      <c r="J451" s="23"/>
      <c r="K451" s="24"/>
      <c r="L451" s="23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23"/>
      <c r="J452" s="23"/>
      <c r="K452" s="24"/>
      <c r="L452" s="23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23"/>
      <c r="J453" s="23"/>
      <c r="K453" s="24"/>
      <c r="L453" s="23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23"/>
      <c r="J454" s="23"/>
      <c r="K454" s="24"/>
      <c r="L454" s="23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23"/>
      <c r="J455" s="23"/>
      <c r="K455" s="24"/>
      <c r="L455" s="23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23"/>
      <c r="J456" s="23"/>
      <c r="K456" s="24"/>
      <c r="L456" s="23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23"/>
      <c r="J457" s="23"/>
      <c r="K457" s="24"/>
      <c r="L457" s="23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23"/>
      <c r="J458" s="23"/>
      <c r="K458" s="24"/>
      <c r="L458" s="23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23"/>
      <c r="J459" s="23"/>
      <c r="K459" s="24"/>
      <c r="L459" s="23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23"/>
      <c r="J460" s="23"/>
      <c r="K460" s="24"/>
      <c r="L460" s="23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23"/>
      <c r="J461" s="23"/>
      <c r="K461" s="24"/>
      <c r="L461" s="23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23"/>
      <c r="J462" s="23"/>
      <c r="K462" s="24"/>
      <c r="L462" s="23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23"/>
      <c r="J463" s="23"/>
      <c r="K463" s="24"/>
      <c r="L463" s="23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23"/>
      <c r="J464" s="23"/>
      <c r="K464" s="24"/>
      <c r="L464" s="23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23"/>
      <c r="J465" s="23"/>
      <c r="K465" s="24"/>
      <c r="L465" s="23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23"/>
      <c r="J466" s="23"/>
      <c r="K466" s="24"/>
      <c r="L466" s="23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23"/>
      <c r="J467" s="23"/>
      <c r="K467" s="24"/>
      <c r="L467" s="23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23"/>
      <c r="J468" s="23"/>
      <c r="K468" s="24"/>
      <c r="L468" s="23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23"/>
      <c r="J469" s="23"/>
      <c r="K469" s="24"/>
      <c r="L469" s="23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23"/>
      <c r="J470" s="23"/>
      <c r="K470" s="24"/>
      <c r="L470" s="23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23"/>
      <c r="J471" s="23"/>
      <c r="K471" s="24"/>
      <c r="L471" s="23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23"/>
      <c r="J472" s="23"/>
      <c r="K472" s="24"/>
      <c r="L472" s="23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23"/>
      <c r="J473" s="23"/>
      <c r="K473" s="24"/>
      <c r="L473" s="23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23"/>
      <c r="J474" s="23"/>
      <c r="K474" s="24"/>
      <c r="L474" s="23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23"/>
      <c r="J475" s="23"/>
      <c r="K475" s="24"/>
      <c r="L475" s="23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23"/>
      <c r="J476" s="23"/>
      <c r="K476" s="24"/>
      <c r="L476" s="23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23"/>
      <c r="J477" s="23"/>
      <c r="K477" s="24"/>
      <c r="L477" s="23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23"/>
      <c r="J478" s="23"/>
      <c r="K478" s="24"/>
      <c r="L478" s="23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23"/>
      <c r="J479" s="23"/>
      <c r="K479" s="24"/>
      <c r="L479" s="23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23"/>
      <c r="J480" s="23"/>
      <c r="K480" s="24"/>
      <c r="L480" s="23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23"/>
      <c r="J481" s="23"/>
      <c r="K481" s="24"/>
      <c r="L481" s="23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23"/>
      <c r="J482" s="23"/>
      <c r="K482" s="24"/>
      <c r="L482" s="23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23"/>
      <c r="J483" s="23"/>
      <c r="K483" s="24"/>
      <c r="L483" s="23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23"/>
      <c r="J484" s="23"/>
      <c r="K484" s="24"/>
      <c r="L484" s="23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23"/>
      <c r="J485" s="23"/>
      <c r="K485" s="24"/>
      <c r="L485" s="23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23"/>
      <c r="J486" s="23"/>
      <c r="K486" s="24"/>
      <c r="L486" s="23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23"/>
      <c r="J487" s="23"/>
      <c r="K487" s="24"/>
      <c r="L487" s="23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23"/>
      <c r="J488" s="23"/>
      <c r="K488" s="24"/>
      <c r="L488" s="23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23"/>
      <c r="J489" s="23"/>
      <c r="K489" s="24"/>
      <c r="L489" s="23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23"/>
      <c r="J490" s="23"/>
      <c r="K490" s="24"/>
      <c r="L490" s="23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23"/>
      <c r="J491" s="23"/>
      <c r="K491" s="24"/>
      <c r="L491" s="23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23"/>
      <c r="J492" s="23"/>
      <c r="K492" s="24"/>
      <c r="L492" s="23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23"/>
      <c r="J493" s="23"/>
      <c r="K493" s="24"/>
      <c r="L493" s="23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23"/>
      <c r="J494" s="23"/>
      <c r="K494" s="24"/>
      <c r="L494" s="23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23"/>
      <c r="J495" s="23"/>
      <c r="K495" s="24"/>
      <c r="L495" s="23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23"/>
      <c r="J496" s="23"/>
      <c r="K496" s="24"/>
      <c r="L496" s="23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23"/>
      <c r="J497" s="23"/>
      <c r="K497" s="24"/>
      <c r="L497" s="23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23"/>
      <c r="J498" s="23"/>
      <c r="K498" s="24"/>
      <c r="L498" s="23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23"/>
      <c r="J499" s="23"/>
      <c r="K499" s="24"/>
      <c r="L499" s="23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23"/>
      <c r="J500" s="23"/>
      <c r="K500" s="24"/>
      <c r="L500" s="23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23"/>
      <c r="J501" s="23"/>
      <c r="K501" s="24"/>
      <c r="L501" s="23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23"/>
      <c r="J502" s="23"/>
      <c r="K502" s="24"/>
      <c r="L502" s="23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23"/>
      <c r="J503" s="23"/>
      <c r="K503" s="24"/>
      <c r="L503" s="23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23"/>
      <c r="J504" s="23"/>
      <c r="K504" s="24"/>
      <c r="L504" s="23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23"/>
      <c r="J505" s="23"/>
      <c r="K505" s="24"/>
      <c r="L505" s="23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23"/>
      <c r="J506" s="23"/>
      <c r="K506" s="24"/>
      <c r="L506" s="23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23"/>
      <c r="J507" s="23"/>
      <c r="K507" s="24"/>
      <c r="L507" s="23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23"/>
      <c r="J508" s="23"/>
      <c r="K508" s="24"/>
      <c r="L508" s="23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23"/>
      <c r="J509" s="23"/>
      <c r="K509" s="24"/>
      <c r="L509" s="23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23"/>
      <c r="J510" s="23"/>
      <c r="K510" s="24"/>
      <c r="L510" s="23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23"/>
      <c r="J511" s="23"/>
      <c r="K511" s="24"/>
      <c r="L511" s="23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23"/>
      <c r="J512" s="23"/>
      <c r="K512" s="24"/>
      <c r="L512" s="23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23"/>
      <c r="J513" s="23"/>
      <c r="K513" s="24"/>
      <c r="L513" s="23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23"/>
      <c r="J514" s="23"/>
      <c r="K514" s="24"/>
      <c r="L514" s="23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23"/>
      <c r="J515" s="23"/>
      <c r="K515" s="24"/>
      <c r="L515" s="23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23"/>
      <c r="J516" s="23"/>
      <c r="K516" s="24"/>
      <c r="L516" s="23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23"/>
      <c r="J517" s="23"/>
      <c r="K517" s="24"/>
      <c r="L517" s="23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23"/>
      <c r="J518" s="23"/>
      <c r="K518" s="24"/>
      <c r="L518" s="23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23"/>
      <c r="J519" s="23"/>
      <c r="K519" s="24"/>
      <c r="L519" s="23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23"/>
      <c r="J520" s="23"/>
      <c r="K520" s="24"/>
      <c r="L520" s="23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23"/>
      <c r="J521" s="23"/>
      <c r="K521" s="24"/>
      <c r="L521" s="23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23"/>
      <c r="J522" s="23"/>
      <c r="K522" s="24"/>
      <c r="L522" s="23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23"/>
      <c r="J523" s="23"/>
      <c r="K523" s="24"/>
      <c r="L523" s="23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23"/>
      <c r="J524" s="23"/>
      <c r="K524" s="24"/>
      <c r="L524" s="23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23"/>
      <c r="J525" s="23"/>
      <c r="K525" s="24"/>
      <c r="L525" s="23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23"/>
      <c r="J526" s="23"/>
      <c r="K526" s="24"/>
      <c r="L526" s="23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23"/>
      <c r="J527" s="23"/>
      <c r="K527" s="24"/>
      <c r="L527" s="23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23"/>
      <c r="J528" s="23"/>
      <c r="K528" s="24"/>
      <c r="L528" s="23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23"/>
      <c r="J529" s="23"/>
      <c r="K529" s="24"/>
      <c r="L529" s="23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23"/>
      <c r="J530" s="23"/>
      <c r="K530" s="24"/>
      <c r="L530" s="23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23"/>
      <c r="J531" s="23"/>
      <c r="K531" s="24"/>
      <c r="L531" s="23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23"/>
      <c r="J532" s="23"/>
      <c r="K532" s="24"/>
      <c r="L532" s="23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23"/>
      <c r="J533" s="23"/>
      <c r="K533" s="24"/>
      <c r="L533" s="23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23"/>
      <c r="J534" s="23"/>
      <c r="K534" s="24"/>
      <c r="L534" s="23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23"/>
      <c r="J535" s="23"/>
      <c r="K535" s="24"/>
      <c r="L535" s="23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23"/>
      <c r="J536" s="23"/>
      <c r="K536" s="24"/>
      <c r="L536" s="23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23"/>
      <c r="J537" s="23"/>
      <c r="K537" s="24"/>
      <c r="L537" s="23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23"/>
      <c r="J538" s="23"/>
      <c r="K538" s="24"/>
      <c r="L538" s="23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23"/>
      <c r="J539" s="23"/>
      <c r="K539" s="24"/>
      <c r="L539" s="23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23"/>
      <c r="J540" s="23"/>
      <c r="K540" s="24"/>
      <c r="L540" s="23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23"/>
      <c r="J541" s="23"/>
      <c r="K541" s="24"/>
      <c r="L541" s="23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23"/>
      <c r="J542" s="23"/>
      <c r="K542" s="24"/>
      <c r="L542" s="23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23"/>
      <c r="J543" s="23"/>
      <c r="K543" s="24"/>
      <c r="L543" s="23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23"/>
      <c r="J544" s="23"/>
      <c r="K544" s="24"/>
      <c r="L544" s="23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23"/>
      <c r="J545" s="23"/>
      <c r="K545" s="24"/>
      <c r="L545" s="23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23"/>
      <c r="J546" s="23"/>
      <c r="K546" s="24"/>
      <c r="L546" s="23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23"/>
      <c r="J547" s="23"/>
      <c r="K547" s="24"/>
      <c r="L547" s="23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23"/>
      <c r="J548" s="23"/>
      <c r="K548" s="24"/>
      <c r="L548" s="23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23"/>
      <c r="J549" s="23"/>
      <c r="K549" s="24"/>
      <c r="L549" s="23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23"/>
      <c r="J550" s="23"/>
      <c r="K550" s="24"/>
      <c r="L550" s="23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23"/>
      <c r="J551" s="23"/>
      <c r="K551" s="24"/>
      <c r="L551" s="23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23"/>
      <c r="J552" s="23"/>
      <c r="K552" s="24"/>
      <c r="L552" s="23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23"/>
      <c r="J553" s="23"/>
      <c r="K553" s="24"/>
      <c r="L553" s="23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23"/>
      <c r="J554" s="23"/>
      <c r="K554" s="24"/>
      <c r="L554" s="23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23"/>
      <c r="J555" s="23"/>
      <c r="K555" s="24"/>
      <c r="L555" s="23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23"/>
      <c r="J556" s="23"/>
      <c r="K556" s="24"/>
      <c r="L556" s="23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23"/>
      <c r="J557" s="23"/>
      <c r="K557" s="24"/>
      <c r="L557" s="23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23"/>
      <c r="J558" s="23"/>
      <c r="K558" s="24"/>
      <c r="L558" s="23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23"/>
      <c r="J559" s="23"/>
      <c r="K559" s="24"/>
      <c r="L559" s="23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23"/>
      <c r="J560" s="23"/>
      <c r="K560" s="24"/>
      <c r="L560" s="23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23"/>
      <c r="J561" s="23"/>
      <c r="K561" s="24"/>
      <c r="L561" s="23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23"/>
      <c r="J562" s="23"/>
      <c r="K562" s="24"/>
      <c r="L562" s="23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23"/>
      <c r="J563" s="23"/>
      <c r="K563" s="24"/>
      <c r="L563" s="23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23"/>
      <c r="J564" s="23"/>
      <c r="K564" s="24"/>
      <c r="L564" s="23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23"/>
      <c r="J565" s="23"/>
      <c r="K565" s="24"/>
      <c r="L565" s="23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23"/>
      <c r="J566" s="23"/>
      <c r="K566" s="24"/>
      <c r="L566" s="23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23"/>
      <c r="J567" s="23"/>
      <c r="K567" s="24"/>
      <c r="L567" s="23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23"/>
      <c r="J568" s="23"/>
      <c r="K568" s="24"/>
      <c r="L568" s="23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23"/>
      <c r="J569" s="23"/>
      <c r="K569" s="24"/>
      <c r="L569" s="23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23"/>
      <c r="J570" s="23"/>
      <c r="K570" s="24"/>
      <c r="L570" s="23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23"/>
      <c r="J571" s="23"/>
      <c r="K571" s="24"/>
      <c r="L571" s="23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23"/>
      <c r="J572" s="23"/>
      <c r="K572" s="24"/>
      <c r="L572" s="23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23"/>
      <c r="J573" s="23"/>
      <c r="K573" s="24"/>
      <c r="L573" s="23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23"/>
      <c r="J574" s="23"/>
      <c r="K574" s="24"/>
      <c r="L574" s="23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23"/>
      <c r="J575" s="23"/>
      <c r="K575" s="24"/>
      <c r="L575" s="23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23"/>
      <c r="J576" s="23"/>
      <c r="K576" s="24"/>
      <c r="L576" s="23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23"/>
      <c r="J577" s="23"/>
      <c r="K577" s="24"/>
      <c r="L577" s="23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23"/>
      <c r="J578" s="23"/>
      <c r="K578" s="24"/>
      <c r="L578" s="23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23"/>
      <c r="J579" s="23"/>
      <c r="K579" s="24"/>
      <c r="L579" s="23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23"/>
      <c r="J580" s="23"/>
      <c r="K580" s="24"/>
      <c r="L580" s="23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23"/>
      <c r="J581" s="23"/>
      <c r="K581" s="24"/>
      <c r="L581" s="23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23"/>
      <c r="J582" s="23"/>
      <c r="K582" s="24"/>
      <c r="L582" s="23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23"/>
      <c r="J583" s="23"/>
      <c r="K583" s="24"/>
      <c r="L583" s="23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23"/>
      <c r="J584" s="23"/>
      <c r="K584" s="24"/>
      <c r="L584" s="23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23"/>
      <c r="J585" s="23"/>
      <c r="K585" s="24"/>
      <c r="L585" s="23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23"/>
      <c r="J586" s="23"/>
      <c r="K586" s="24"/>
      <c r="L586" s="23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23"/>
      <c r="J587" s="23"/>
      <c r="K587" s="24"/>
      <c r="L587" s="23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23"/>
      <c r="J588" s="23"/>
      <c r="K588" s="24"/>
      <c r="L588" s="23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23"/>
      <c r="J589" s="23"/>
      <c r="K589" s="24"/>
      <c r="L589" s="23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23"/>
      <c r="J590" s="23"/>
      <c r="K590" s="24"/>
      <c r="L590" s="23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23"/>
      <c r="J591" s="23"/>
      <c r="K591" s="24"/>
      <c r="L591" s="23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23"/>
      <c r="J592" s="23"/>
      <c r="K592" s="24"/>
      <c r="L592" s="23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23"/>
      <c r="J593" s="23"/>
      <c r="K593" s="24"/>
      <c r="L593" s="23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23"/>
      <c r="J594" s="23"/>
      <c r="K594" s="24"/>
      <c r="L594" s="23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23"/>
      <c r="J595" s="23"/>
      <c r="K595" s="24"/>
      <c r="L595" s="23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23"/>
      <c r="J596" s="23"/>
      <c r="K596" s="24"/>
      <c r="L596" s="23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23"/>
      <c r="J597" s="23"/>
      <c r="K597" s="24"/>
      <c r="L597" s="23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23"/>
      <c r="J598" s="23"/>
      <c r="K598" s="24"/>
      <c r="L598" s="23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23"/>
      <c r="J599" s="23"/>
      <c r="K599" s="24"/>
      <c r="L599" s="23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23"/>
      <c r="J600" s="23"/>
      <c r="K600" s="24"/>
      <c r="L600" s="23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23"/>
      <c r="J601" s="23"/>
      <c r="K601" s="24"/>
      <c r="L601" s="23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23"/>
      <c r="J602" s="23"/>
      <c r="K602" s="24"/>
      <c r="L602" s="23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23"/>
      <c r="J603" s="23"/>
      <c r="K603" s="24"/>
      <c r="L603" s="23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23"/>
      <c r="J604" s="23"/>
      <c r="K604" s="24"/>
      <c r="L604" s="23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23"/>
      <c r="J605" s="23"/>
      <c r="K605" s="24"/>
      <c r="L605" s="23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23"/>
      <c r="J606" s="23"/>
      <c r="K606" s="24"/>
      <c r="L606" s="23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23"/>
      <c r="J607" s="23"/>
      <c r="K607" s="24"/>
      <c r="L607" s="23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23"/>
      <c r="J608" s="23"/>
      <c r="K608" s="24"/>
      <c r="L608" s="23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23"/>
      <c r="J609" s="23"/>
      <c r="K609" s="24"/>
      <c r="L609" s="23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23"/>
      <c r="J610" s="23"/>
      <c r="K610" s="24"/>
      <c r="L610" s="23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23"/>
      <c r="J611" s="23"/>
      <c r="K611" s="24"/>
      <c r="L611" s="23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23"/>
      <c r="J612" s="23"/>
      <c r="K612" s="24"/>
      <c r="L612" s="23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23"/>
      <c r="J613" s="23"/>
      <c r="K613" s="24"/>
      <c r="L613" s="23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23"/>
      <c r="J614" s="23"/>
      <c r="K614" s="24"/>
      <c r="L614" s="23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23"/>
      <c r="J615" s="23"/>
      <c r="K615" s="24"/>
      <c r="L615" s="23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23"/>
      <c r="J616" s="23"/>
      <c r="K616" s="24"/>
      <c r="L616" s="23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23"/>
      <c r="J617" s="23"/>
      <c r="K617" s="24"/>
      <c r="L617" s="23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23"/>
      <c r="J618" s="23"/>
      <c r="K618" s="24"/>
      <c r="L618" s="23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23"/>
      <c r="J619" s="23"/>
      <c r="K619" s="24"/>
      <c r="L619" s="23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23"/>
      <c r="J620" s="23"/>
      <c r="K620" s="24"/>
      <c r="L620" s="23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23"/>
      <c r="J621" s="23"/>
      <c r="K621" s="24"/>
      <c r="L621" s="23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23"/>
      <c r="J622" s="23"/>
      <c r="K622" s="24"/>
      <c r="L622" s="23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23"/>
      <c r="J623" s="23"/>
      <c r="K623" s="24"/>
      <c r="L623" s="23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23"/>
      <c r="J624" s="23"/>
      <c r="K624" s="24"/>
      <c r="L624" s="23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23"/>
      <c r="J625" s="23"/>
      <c r="K625" s="24"/>
      <c r="L625" s="23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23"/>
      <c r="J626" s="23"/>
      <c r="K626" s="24"/>
      <c r="L626" s="23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23"/>
      <c r="J627" s="23"/>
      <c r="K627" s="24"/>
      <c r="L627" s="23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23"/>
      <c r="J628" s="23"/>
      <c r="K628" s="24"/>
      <c r="L628" s="23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23"/>
      <c r="J629" s="23"/>
      <c r="K629" s="24"/>
      <c r="L629" s="23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23"/>
      <c r="J630" s="23"/>
      <c r="K630" s="24"/>
      <c r="L630" s="23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23"/>
      <c r="J631" s="23"/>
      <c r="K631" s="24"/>
      <c r="L631" s="23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23"/>
      <c r="J632" s="23"/>
      <c r="K632" s="24"/>
      <c r="L632" s="23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23"/>
      <c r="J633" s="23"/>
      <c r="K633" s="24"/>
      <c r="L633" s="23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23"/>
      <c r="J634" s="23"/>
      <c r="K634" s="24"/>
      <c r="L634" s="23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23"/>
      <c r="J635" s="23"/>
      <c r="K635" s="24"/>
      <c r="L635" s="23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23"/>
      <c r="J636" s="23"/>
      <c r="K636" s="24"/>
      <c r="L636" s="23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23"/>
      <c r="J637" s="23"/>
      <c r="K637" s="24"/>
      <c r="L637" s="23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23"/>
      <c r="J638" s="23"/>
      <c r="K638" s="24"/>
      <c r="L638" s="23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23"/>
      <c r="J639" s="23"/>
      <c r="K639" s="24"/>
      <c r="L639" s="23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23"/>
      <c r="J640" s="23"/>
      <c r="K640" s="24"/>
      <c r="L640" s="23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23"/>
      <c r="J641" s="23"/>
      <c r="K641" s="24"/>
      <c r="L641" s="23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23"/>
      <c r="J642" s="23"/>
      <c r="K642" s="24"/>
      <c r="L642" s="23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23"/>
      <c r="J643" s="23"/>
      <c r="K643" s="24"/>
      <c r="L643" s="23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23"/>
      <c r="J644" s="23"/>
      <c r="K644" s="24"/>
      <c r="L644" s="23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23"/>
      <c r="J645" s="23"/>
      <c r="K645" s="24"/>
      <c r="L645" s="23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23"/>
      <c r="J646" s="23"/>
      <c r="K646" s="24"/>
      <c r="L646" s="23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23"/>
      <c r="J647" s="23"/>
      <c r="K647" s="24"/>
      <c r="L647" s="23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23"/>
      <c r="J648" s="23"/>
      <c r="K648" s="24"/>
      <c r="L648" s="23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23"/>
      <c r="J649" s="23"/>
      <c r="K649" s="24"/>
      <c r="L649" s="23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23"/>
      <c r="J650" s="23"/>
      <c r="K650" s="24"/>
      <c r="L650" s="23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23"/>
      <c r="J651" s="23"/>
      <c r="K651" s="24"/>
      <c r="L651" s="23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23"/>
      <c r="J652" s="23"/>
      <c r="K652" s="24"/>
      <c r="L652" s="23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23"/>
      <c r="J653" s="23"/>
      <c r="K653" s="24"/>
      <c r="L653" s="23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23"/>
      <c r="J654" s="23"/>
      <c r="K654" s="24"/>
      <c r="L654" s="23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23"/>
      <c r="J655" s="23"/>
      <c r="K655" s="24"/>
      <c r="L655" s="23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23"/>
      <c r="J656" s="23"/>
      <c r="K656" s="24"/>
      <c r="L656" s="23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23"/>
      <c r="J657" s="23"/>
      <c r="K657" s="24"/>
      <c r="L657" s="23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23"/>
      <c r="J658" s="23"/>
      <c r="K658" s="24"/>
      <c r="L658" s="23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23"/>
      <c r="J659" s="23"/>
      <c r="K659" s="24"/>
      <c r="L659" s="23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23"/>
      <c r="J660" s="23"/>
      <c r="K660" s="24"/>
      <c r="L660" s="23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23"/>
      <c r="J661" s="23"/>
      <c r="K661" s="24"/>
      <c r="L661" s="23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23"/>
      <c r="J662" s="23"/>
      <c r="K662" s="24"/>
      <c r="L662" s="23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23"/>
      <c r="J663" s="23"/>
      <c r="K663" s="24"/>
      <c r="L663" s="23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23"/>
      <c r="J664" s="23"/>
      <c r="K664" s="24"/>
      <c r="L664" s="23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23"/>
      <c r="J665" s="23"/>
      <c r="K665" s="24"/>
      <c r="L665" s="23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23"/>
      <c r="J666" s="23"/>
      <c r="K666" s="24"/>
      <c r="L666" s="23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23"/>
      <c r="J667" s="23"/>
      <c r="K667" s="24"/>
      <c r="L667" s="23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23"/>
      <c r="J668" s="23"/>
      <c r="K668" s="24"/>
      <c r="L668" s="23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23"/>
      <c r="J669" s="23"/>
      <c r="K669" s="24"/>
      <c r="L669" s="23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23"/>
      <c r="J670" s="23"/>
      <c r="K670" s="24"/>
      <c r="L670" s="23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23"/>
      <c r="J671" s="23"/>
      <c r="K671" s="24"/>
      <c r="L671" s="23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23"/>
      <c r="J672" s="23"/>
      <c r="K672" s="24"/>
      <c r="L672" s="23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23"/>
      <c r="J673" s="23"/>
      <c r="K673" s="24"/>
      <c r="L673" s="23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23"/>
      <c r="J674" s="23"/>
      <c r="K674" s="24"/>
      <c r="L674" s="23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23"/>
      <c r="J675" s="23"/>
      <c r="K675" s="24"/>
      <c r="L675" s="23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23"/>
      <c r="J676" s="23"/>
      <c r="K676" s="24"/>
      <c r="L676" s="23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23"/>
      <c r="J677" s="23"/>
      <c r="K677" s="24"/>
      <c r="L677" s="23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23"/>
      <c r="J678" s="23"/>
      <c r="K678" s="24"/>
      <c r="L678" s="23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23"/>
      <c r="J679" s="23"/>
      <c r="K679" s="24"/>
      <c r="L679" s="23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23"/>
      <c r="J680" s="23"/>
      <c r="K680" s="24"/>
      <c r="L680" s="23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23"/>
      <c r="J681" s="23"/>
      <c r="K681" s="24"/>
      <c r="L681" s="23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23"/>
      <c r="J682" s="23"/>
      <c r="K682" s="24"/>
      <c r="L682" s="23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23"/>
      <c r="J683" s="23"/>
      <c r="K683" s="24"/>
      <c r="L683" s="23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23"/>
      <c r="J684" s="23"/>
      <c r="K684" s="24"/>
      <c r="L684" s="23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23"/>
      <c r="J685" s="23"/>
      <c r="K685" s="24"/>
      <c r="L685" s="23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23"/>
      <c r="J686" s="23"/>
      <c r="K686" s="24"/>
      <c r="L686" s="23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23"/>
      <c r="J687" s="23"/>
      <c r="K687" s="24"/>
      <c r="L687" s="23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23"/>
      <c r="J688" s="23"/>
      <c r="K688" s="24"/>
      <c r="L688" s="23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23"/>
      <c r="J689" s="23"/>
      <c r="K689" s="24"/>
      <c r="L689" s="23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23"/>
      <c r="J690" s="23"/>
      <c r="K690" s="24"/>
      <c r="L690" s="23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23"/>
      <c r="J691" s="23"/>
      <c r="K691" s="24"/>
      <c r="L691" s="23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23"/>
      <c r="J692" s="23"/>
      <c r="K692" s="24"/>
      <c r="L692" s="23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23"/>
      <c r="J693" s="23"/>
      <c r="K693" s="24"/>
      <c r="L693" s="23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23"/>
      <c r="J694" s="23"/>
      <c r="K694" s="24"/>
      <c r="L694" s="23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23"/>
      <c r="J695" s="23"/>
      <c r="K695" s="24"/>
      <c r="L695" s="23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23"/>
      <c r="J696" s="23"/>
      <c r="K696" s="24"/>
      <c r="L696" s="23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23"/>
      <c r="J697" s="23"/>
      <c r="K697" s="24"/>
      <c r="L697" s="23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23"/>
      <c r="J698" s="23"/>
      <c r="K698" s="24"/>
      <c r="L698" s="23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23"/>
      <c r="J699" s="23"/>
      <c r="K699" s="24"/>
      <c r="L699" s="23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23"/>
      <c r="J700" s="23"/>
      <c r="K700" s="24"/>
      <c r="L700" s="23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23"/>
      <c r="J701" s="23"/>
      <c r="K701" s="24"/>
      <c r="L701" s="23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23"/>
      <c r="J702" s="23"/>
      <c r="K702" s="24"/>
      <c r="L702" s="23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23"/>
      <c r="J703" s="23"/>
      <c r="K703" s="24"/>
      <c r="L703" s="23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23"/>
      <c r="J704" s="23"/>
      <c r="K704" s="24"/>
      <c r="L704" s="23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23"/>
      <c r="J705" s="23"/>
      <c r="K705" s="24"/>
      <c r="L705" s="23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23"/>
      <c r="J706" s="23"/>
      <c r="K706" s="24"/>
      <c r="L706" s="23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23"/>
      <c r="J707" s="23"/>
      <c r="K707" s="24"/>
      <c r="L707" s="23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23"/>
      <c r="J708" s="23"/>
      <c r="K708" s="24"/>
      <c r="L708" s="23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23"/>
      <c r="J709" s="23"/>
      <c r="K709" s="24"/>
      <c r="L709" s="23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23"/>
      <c r="J710" s="23"/>
      <c r="K710" s="24"/>
      <c r="L710" s="23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23"/>
      <c r="J711" s="23"/>
      <c r="K711" s="24"/>
      <c r="L711" s="23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23"/>
      <c r="J712" s="23"/>
      <c r="K712" s="24"/>
      <c r="L712" s="23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23"/>
      <c r="J713" s="23"/>
      <c r="K713" s="24"/>
      <c r="L713" s="23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23"/>
      <c r="J714" s="23"/>
      <c r="K714" s="24"/>
      <c r="L714" s="23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23"/>
      <c r="J715" s="23"/>
      <c r="K715" s="24"/>
      <c r="L715" s="23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23"/>
      <c r="J716" s="23"/>
      <c r="K716" s="24"/>
      <c r="L716" s="23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23"/>
      <c r="J717" s="23"/>
      <c r="K717" s="24"/>
      <c r="L717" s="23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23"/>
      <c r="J718" s="23"/>
      <c r="K718" s="24"/>
      <c r="L718" s="23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23"/>
      <c r="J719" s="23"/>
      <c r="K719" s="24"/>
      <c r="L719" s="23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23"/>
      <c r="J720" s="23"/>
      <c r="K720" s="24"/>
      <c r="L720" s="23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23"/>
      <c r="J721" s="23"/>
      <c r="K721" s="24"/>
      <c r="L721" s="23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23"/>
      <c r="J722" s="23"/>
      <c r="K722" s="24"/>
      <c r="L722" s="23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23"/>
      <c r="J723" s="23"/>
      <c r="K723" s="24"/>
      <c r="L723" s="23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23"/>
      <c r="J724" s="23"/>
      <c r="K724" s="24"/>
      <c r="L724" s="23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23"/>
      <c r="J725" s="23"/>
      <c r="K725" s="24"/>
      <c r="L725" s="23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23"/>
      <c r="J726" s="23"/>
      <c r="K726" s="24"/>
      <c r="L726" s="23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23"/>
      <c r="J727" s="23"/>
      <c r="K727" s="24"/>
      <c r="L727" s="23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23"/>
      <c r="J728" s="23"/>
      <c r="K728" s="24"/>
      <c r="L728" s="23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23"/>
      <c r="J729" s="23"/>
      <c r="K729" s="24"/>
      <c r="L729" s="23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23"/>
      <c r="J730" s="23"/>
      <c r="K730" s="24"/>
      <c r="L730" s="23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23"/>
      <c r="J731" s="23"/>
      <c r="K731" s="24"/>
      <c r="L731" s="23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23"/>
      <c r="J732" s="23"/>
      <c r="K732" s="24"/>
      <c r="L732" s="23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23"/>
      <c r="J733" s="23"/>
      <c r="K733" s="24"/>
      <c r="L733" s="23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23"/>
      <c r="J734" s="23"/>
      <c r="K734" s="24"/>
      <c r="L734" s="23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23"/>
      <c r="J735" s="23"/>
      <c r="K735" s="24"/>
      <c r="L735" s="23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23"/>
      <c r="J736" s="23"/>
      <c r="K736" s="24"/>
      <c r="L736" s="23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23"/>
      <c r="J737" s="23"/>
      <c r="K737" s="24"/>
      <c r="L737" s="23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23"/>
      <c r="J738" s="23"/>
      <c r="K738" s="24"/>
      <c r="L738" s="23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23"/>
      <c r="J739" s="23"/>
      <c r="K739" s="24"/>
      <c r="L739" s="23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23"/>
      <c r="J740" s="23"/>
      <c r="K740" s="24"/>
      <c r="L740" s="23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23"/>
      <c r="J741" s="23"/>
      <c r="K741" s="24"/>
      <c r="L741" s="23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23"/>
      <c r="J742" s="23"/>
      <c r="K742" s="24"/>
      <c r="L742" s="23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23"/>
      <c r="J743" s="23"/>
      <c r="K743" s="24"/>
      <c r="L743" s="23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23"/>
      <c r="J744" s="23"/>
      <c r="K744" s="24"/>
      <c r="L744" s="23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23"/>
      <c r="J745" s="23"/>
      <c r="K745" s="24"/>
      <c r="L745" s="23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23"/>
      <c r="J746" s="23"/>
      <c r="K746" s="24"/>
      <c r="L746" s="23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23"/>
      <c r="J747" s="23"/>
      <c r="K747" s="24"/>
      <c r="L747" s="23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23"/>
      <c r="J748" s="23"/>
      <c r="K748" s="24"/>
      <c r="L748" s="23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23"/>
      <c r="J749" s="23"/>
      <c r="K749" s="24"/>
      <c r="L749" s="23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23"/>
      <c r="J750" s="23"/>
      <c r="K750" s="24"/>
      <c r="L750" s="23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23"/>
      <c r="J751" s="23"/>
      <c r="K751" s="24"/>
      <c r="L751" s="23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23"/>
      <c r="J752" s="23"/>
      <c r="K752" s="24"/>
      <c r="L752" s="23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23"/>
      <c r="J753" s="23"/>
      <c r="K753" s="24"/>
      <c r="L753" s="23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23"/>
      <c r="J754" s="23"/>
      <c r="K754" s="24"/>
      <c r="L754" s="23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23"/>
      <c r="J755" s="23"/>
      <c r="K755" s="24"/>
      <c r="L755" s="23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23"/>
      <c r="J756" s="23"/>
      <c r="K756" s="24"/>
      <c r="L756" s="23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23"/>
      <c r="J757" s="23"/>
      <c r="K757" s="24"/>
      <c r="L757" s="23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23"/>
      <c r="J758" s="23"/>
      <c r="K758" s="24"/>
      <c r="L758" s="23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23"/>
      <c r="J759" s="23"/>
      <c r="K759" s="24"/>
      <c r="L759" s="23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23"/>
      <c r="J760" s="23"/>
      <c r="K760" s="24"/>
      <c r="L760" s="23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23"/>
      <c r="J761" s="23"/>
      <c r="K761" s="24"/>
      <c r="L761" s="23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23"/>
      <c r="J762" s="23"/>
      <c r="K762" s="24"/>
      <c r="L762" s="23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23"/>
      <c r="J763" s="23"/>
      <c r="K763" s="24"/>
      <c r="L763" s="23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23"/>
      <c r="J764" s="23"/>
      <c r="K764" s="24"/>
      <c r="L764" s="23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23"/>
      <c r="J765" s="23"/>
      <c r="K765" s="24"/>
      <c r="L765" s="23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23"/>
      <c r="J766" s="23"/>
      <c r="K766" s="24"/>
      <c r="L766" s="23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23"/>
      <c r="J767" s="23"/>
      <c r="K767" s="24"/>
      <c r="L767" s="23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23"/>
      <c r="J768" s="23"/>
      <c r="K768" s="24"/>
      <c r="L768" s="23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23"/>
      <c r="J769" s="23"/>
      <c r="K769" s="24"/>
      <c r="L769" s="23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23"/>
      <c r="J770" s="23"/>
      <c r="K770" s="24"/>
      <c r="L770" s="23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23"/>
      <c r="J771" s="23"/>
      <c r="K771" s="24"/>
      <c r="L771" s="23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23"/>
      <c r="J772" s="23"/>
      <c r="K772" s="24"/>
      <c r="L772" s="23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23"/>
      <c r="J773" s="23"/>
      <c r="K773" s="24"/>
      <c r="L773" s="23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23"/>
      <c r="J774" s="23"/>
      <c r="K774" s="24"/>
      <c r="L774" s="23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23"/>
      <c r="J775" s="23"/>
      <c r="K775" s="24"/>
      <c r="L775" s="23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23"/>
      <c r="J776" s="23"/>
      <c r="K776" s="24"/>
      <c r="L776" s="23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23"/>
      <c r="J777" s="23"/>
      <c r="K777" s="24"/>
      <c r="L777" s="23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23"/>
      <c r="J778" s="23"/>
      <c r="K778" s="24"/>
      <c r="L778" s="23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23"/>
      <c r="J779" s="23"/>
      <c r="K779" s="24"/>
      <c r="L779" s="23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23"/>
      <c r="J780" s="23"/>
      <c r="K780" s="24"/>
      <c r="L780" s="23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23"/>
      <c r="J781" s="23"/>
      <c r="K781" s="24"/>
      <c r="L781" s="23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23"/>
      <c r="J782" s="23"/>
      <c r="K782" s="24"/>
      <c r="L782" s="23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23"/>
      <c r="J783" s="23"/>
      <c r="K783" s="24"/>
      <c r="L783" s="23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23"/>
      <c r="J784" s="23"/>
      <c r="K784" s="24"/>
      <c r="L784" s="23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23"/>
      <c r="J785" s="23"/>
      <c r="K785" s="24"/>
      <c r="L785" s="23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23"/>
      <c r="J786" s="23"/>
      <c r="K786" s="24"/>
      <c r="L786" s="23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23"/>
      <c r="J787" s="23"/>
      <c r="K787" s="24"/>
      <c r="L787" s="23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23"/>
      <c r="J788" s="23"/>
      <c r="K788" s="24"/>
      <c r="L788" s="23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23"/>
      <c r="J789" s="23"/>
      <c r="K789" s="24"/>
      <c r="L789" s="23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23"/>
      <c r="J790" s="23"/>
      <c r="K790" s="24"/>
      <c r="L790" s="23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23"/>
      <c r="J791" s="23"/>
      <c r="K791" s="24"/>
      <c r="L791" s="23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23"/>
      <c r="J792" s="23"/>
      <c r="K792" s="24"/>
      <c r="L792" s="23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23"/>
      <c r="J793" s="23"/>
      <c r="K793" s="24"/>
      <c r="L793" s="23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23"/>
      <c r="J794" s="23"/>
      <c r="K794" s="24"/>
      <c r="L794" s="23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23"/>
      <c r="J795" s="23"/>
      <c r="K795" s="24"/>
      <c r="L795" s="23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23"/>
      <c r="J796" s="23"/>
      <c r="K796" s="24"/>
      <c r="L796" s="23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23"/>
      <c r="J797" s="23"/>
      <c r="K797" s="24"/>
      <c r="L797" s="23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23"/>
      <c r="J798" s="23"/>
      <c r="K798" s="24"/>
      <c r="L798" s="23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23"/>
      <c r="J799" s="23"/>
      <c r="K799" s="24"/>
      <c r="L799" s="23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23"/>
      <c r="J800" s="23"/>
      <c r="K800" s="24"/>
      <c r="L800" s="23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23"/>
      <c r="J801" s="23"/>
      <c r="K801" s="24"/>
      <c r="L801" s="23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23"/>
      <c r="J802" s="23"/>
      <c r="K802" s="24"/>
      <c r="L802" s="23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23"/>
      <c r="J803" s="23"/>
      <c r="K803" s="24"/>
      <c r="L803" s="23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23"/>
      <c r="J804" s="23"/>
      <c r="K804" s="24"/>
      <c r="L804" s="23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23"/>
      <c r="J805" s="23"/>
      <c r="K805" s="24"/>
      <c r="L805" s="23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23"/>
      <c r="J806" s="23"/>
      <c r="K806" s="24"/>
      <c r="L806" s="23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23"/>
      <c r="J807" s="23"/>
      <c r="K807" s="24"/>
      <c r="L807" s="23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23"/>
      <c r="J808" s="23"/>
      <c r="K808" s="24"/>
      <c r="L808" s="23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23"/>
      <c r="J809" s="23"/>
      <c r="K809" s="24"/>
      <c r="L809" s="23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23"/>
      <c r="J810" s="23"/>
      <c r="K810" s="24"/>
      <c r="L810" s="23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23"/>
      <c r="J811" s="23"/>
      <c r="K811" s="24"/>
      <c r="L811" s="23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23"/>
      <c r="J812" s="23"/>
      <c r="K812" s="24"/>
      <c r="L812" s="23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23"/>
      <c r="J813" s="23"/>
      <c r="K813" s="24"/>
      <c r="L813" s="23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23"/>
      <c r="J814" s="23"/>
      <c r="K814" s="24"/>
      <c r="L814" s="23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23"/>
      <c r="J815" s="23"/>
      <c r="K815" s="24"/>
      <c r="L815" s="23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23"/>
      <c r="J816" s="23"/>
      <c r="K816" s="24"/>
      <c r="L816" s="23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23"/>
      <c r="J817" s="23"/>
      <c r="K817" s="24"/>
      <c r="L817" s="23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23"/>
      <c r="J818" s="23"/>
      <c r="K818" s="24"/>
      <c r="L818" s="23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23"/>
      <c r="J819" s="23"/>
      <c r="K819" s="24"/>
      <c r="L819" s="23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23"/>
      <c r="J820" s="23"/>
      <c r="K820" s="24"/>
      <c r="L820" s="23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23"/>
      <c r="J821" s="23"/>
      <c r="K821" s="24"/>
      <c r="L821" s="23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23"/>
      <c r="J822" s="23"/>
      <c r="K822" s="24"/>
      <c r="L822" s="23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23"/>
      <c r="J823" s="23"/>
      <c r="K823" s="24"/>
      <c r="L823" s="23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23"/>
      <c r="J824" s="23"/>
      <c r="K824" s="24"/>
      <c r="L824" s="23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23"/>
      <c r="J825" s="23"/>
      <c r="K825" s="24"/>
      <c r="L825" s="23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23"/>
      <c r="J826" s="23"/>
      <c r="K826" s="24"/>
      <c r="L826" s="23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23"/>
      <c r="J827" s="23"/>
      <c r="K827" s="24"/>
      <c r="L827" s="23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23"/>
      <c r="J828" s="23"/>
      <c r="K828" s="24"/>
      <c r="L828" s="23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23"/>
      <c r="J829" s="23"/>
      <c r="K829" s="24"/>
      <c r="L829" s="23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23"/>
      <c r="J830" s="23"/>
      <c r="K830" s="24"/>
      <c r="L830" s="23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23"/>
      <c r="J831" s="23"/>
      <c r="K831" s="24"/>
      <c r="L831" s="23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23"/>
      <c r="J832" s="23"/>
      <c r="K832" s="24"/>
      <c r="L832" s="23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23"/>
      <c r="J833" s="23"/>
      <c r="K833" s="24"/>
      <c r="L833" s="23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23"/>
      <c r="J834" s="23"/>
      <c r="K834" s="24"/>
      <c r="L834" s="23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23"/>
      <c r="J835" s="23"/>
      <c r="K835" s="24"/>
      <c r="L835" s="23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23"/>
      <c r="J836" s="23"/>
      <c r="K836" s="24"/>
      <c r="L836" s="23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23"/>
      <c r="J837" s="23"/>
      <c r="K837" s="24"/>
      <c r="L837" s="23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23"/>
      <c r="J838" s="23"/>
      <c r="K838" s="24"/>
      <c r="L838" s="23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23"/>
      <c r="J839" s="23"/>
      <c r="K839" s="24"/>
      <c r="L839" s="23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23"/>
      <c r="J840" s="23"/>
      <c r="K840" s="24"/>
      <c r="L840" s="23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23"/>
      <c r="J841" s="23"/>
      <c r="K841" s="24"/>
      <c r="L841" s="23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23"/>
      <c r="J842" s="23"/>
      <c r="K842" s="24"/>
      <c r="L842" s="23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23"/>
      <c r="J843" s="23"/>
      <c r="K843" s="24"/>
      <c r="L843" s="23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23"/>
      <c r="J844" s="23"/>
      <c r="K844" s="24"/>
      <c r="L844" s="23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23"/>
      <c r="J845" s="23"/>
      <c r="K845" s="24"/>
      <c r="L845" s="23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23"/>
      <c r="J846" s="23"/>
      <c r="K846" s="24"/>
      <c r="L846" s="23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23"/>
      <c r="J847" s="23"/>
      <c r="K847" s="24"/>
      <c r="L847" s="23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23"/>
      <c r="J848" s="23"/>
      <c r="K848" s="24"/>
      <c r="L848" s="23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23"/>
      <c r="J849" s="23"/>
      <c r="K849" s="24"/>
      <c r="L849" s="23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23"/>
      <c r="J850" s="23"/>
      <c r="K850" s="24"/>
      <c r="L850" s="23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23"/>
      <c r="J851" s="23"/>
      <c r="K851" s="24"/>
      <c r="L851" s="23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23"/>
      <c r="J852" s="23"/>
      <c r="K852" s="24"/>
      <c r="L852" s="23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23"/>
      <c r="J853" s="23"/>
      <c r="K853" s="24"/>
      <c r="L853" s="23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23"/>
      <c r="J854" s="23"/>
      <c r="K854" s="24"/>
      <c r="L854" s="23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23"/>
      <c r="J855" s="23"/>
      <c r="K855" s="24"/>
      <c r="L855" s="23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23"/>
      <c r="J856" s="23"/>
      <c r="K856" s="24"/>
      <c r="L856" s="23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23"/>
      <c r="J857" s="23"/>
      <c r="K857" s="24"/>
      <c r="L857" s="23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23"/>
      <c r="J858" s="23"/>
      <c r="K858" s="24"/>
      <c r="L858" s="23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23"/>
      <c r="J859" s="23"/>
      <c r="K859" s="24"/>
      <c r="L859" s="23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23"/>
      <c r="J860" s="23"/>
      <c r="K860" s="24"/>
      <c r="L860" s="23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23"/>
      <c r="J861" s="23"/>
      <c r="K861" s="24"/>
      <c r="L861" s="23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23"/>
      <c r="J862" s="23"/>
      <c r="K862" s="24"/>
      <c r="L862" s="23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23"/>
      <c r="J863" s="23"/>
      <c r="K863" s="24"/>
      <c r="L863" s="23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23"/>
      <c r="J864" s="23"/>
      <c r="K864" s="24"/>
      <c r="L864" s="23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23"/>
      <c r="J865" s="23"/>
      <c r="K865" s="24"/>
      <c r="L865" s="23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23"/>
      <c r="J866" s="23"/>
      <c r="K866" s="24"/>
      <c r="L866" s="23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23"/>
      <c r="J867" s="23"/>
      <c r="K867" s="24"/>
      <c r="L867" s="23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23"/>
      <c r="J868" s="23"/>
      <c r="K868" s="24"/>
      <c r="L868" s="23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23"/>
      <c r="J869" s="23"/>
      <c r="K869" s="24"/>
      <c r="L869" s="23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23"/>
      <c r="J870" s="23"/>
      <c r="K870" s="24"/>
      <c r="L870" s="23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23"/>
      <c r="J871" s="23"/>
      <c r="K871" s="24"/>
      <c r="L871" s="23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23"/>
      <c r="J872" s="23"/>
      <c r="K872" s="24"/>
      <c r="L872" s="23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23"/>
      <c r="J873" s="23"/>
      <c r="K873" s="24"/>
      <c r="L873" s="23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23"/>
      <c r="J874" s="23"/>
      <c r="K874" s="24"/>
      <c r="L874" s="23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23"/>
      <c r="J875" s="23"/>
      <c r="K875" s="24"/>
      <c r="L875" s="23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23"/>
      <c r="J876" s="23"/>
      <c r="K876" s="24"/>
      <c r="L876" s="23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23"/>
      <c r="J877" s="23"/>
      <c r="K877" s="24"/>
      <c r="L877" s="23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23"/>
      <c r="J878" s="23"/>
      <c r="K878" s="24"/>
      <c r="L878" s="23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23"/>
      <c r="J879" s="23"/>
      <c r="K879" s="24"/>
      <c r="L879" s="23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23"/>
      <c r="J880" s="23"/>
      <c r="K880" s="24"/>
      <c r="L880" s="23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23"/>
      <c r="J881" s="23"/>
      <c r="K881" s="24"/>
      <c r="L881" s="23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23"/>
      <c r="J882" s="23"/>
      <c r="K882" s="24"/>
      <c r="L882" s="23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23"/>
      <c r="J883" s="23"/>
      <c r="K883" s="24"/>
      <c r="L883" s="23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23"/>
      <c r="J884" s="23"/>
      <c r="K884" s="24"/>
      <c r="L884" s="23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23"/>
      <c r="J885" s="23"/>
      <c r="K885" s="24"/>
      <c r="L885" s="23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23"/>
      <c r="J886" s="23"/>
      <c r="K886" s="24"/>
      <c r="L886" s="23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23"/>
      <c r="J887" s="23"/>
      <c r="K887" s="24"/>
      <c r="L887" s="23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23"/>
      <c r="J888" s="23"/>
      <c r="K888" s="24"/>
      <c r="L888" s="23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23"/>
      <c r="J889" s="23"/>
      <c r="K889" s="24"/>
      <c r="L889" s="23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23"/>
      <c r="J890" s="23"/>
      <c r="K890" s="24"/>
      <c r="L890" s="23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23"/>
      <c r="J891" s="23"/>
      <c r="K891" s="24"/>
      <c r="L891" s="23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23"/>
      <c r="J892" s="23"/>
      <c r="K892" s="24"/>
      <c r="L892" s="23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23"/>
      <c r="J893" s="23"/>
      <c r="K893" s="24"/>
      <c r="L893" s="23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23"/>
      <c r="J894" s="23"/>
      <c r="K894" s="24"/>
      <c r="L894" s="23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23"/>
      <c r="J895" s="23"/>
      <c r="K895" s="24"/>
      <c r="L895" s="23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23"/>
      <c r="J896" s="23"/>
      <c r="K896" s="24"/>
      <c r="L896" s="23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23"/>
      <c r="J897" s="23"/>
      <c r="K897" s="24"/>
      <c r="L897" s="23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23"/>
      <c r="J898" s="23"/>
      <c r="K898" s="24"/>
      <c r="L898" s="23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23"/>
      <c r="J899" s="23"/>
      <c r="K899" s="24"/>
      <c r="L899" s="23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23"/>
      <c r="J900" s="23"/>
      <c r="K900" s="24"/>
      <c r="L900" s="23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23"/>
      <c r="J901" s="23"/>
      <c r="K901" s="24"/>
      <c r="L901" s="23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23"/>
      <c r="J902" s="23"/>
      <c r="K902" s="24"/>
      <c r="L902" s="23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23"/>
      <c r="J903" s="23"/>
      <c r="K903" s="24"/>
      <c r="L903" s="23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23"/>
      <c r="J904" s="23"/>
      <c r="K904" s="24"/>
      <c r="L904" s="23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23"/>
      <c r="J905" s="23"/>
      <c r="K905" s="24"/>
      <c r="L905" s="23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23"/>
      <c r="J906" s="23"/>
      <c r="K906" s="24"/>
      <c r="L906" s="23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23"/>
      <c r="J907" s="23"/>
      <c r="K907" s="24"/>
      <c r="L907" s="23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23"/>
      <c r="J908" s="23"/>
      <c r="K908" s="24"/>
      <c r="L908" s="23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23"/>
      <c r="J909" s="23"/>
      <c r="K909" s="24"/>
      <c r="L909" s="23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23"/>
      <c r="J910" s="23"/>
      <c r="K910" s="24"/>
      <c r="L910" s="23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23"/>
      <c r="J911" s="23"/>
      <c r="K911" s="24"/>
      <c r="L911" s="23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23"/>
      <c r="J912" s="23"/>
      <c r="K912" s="24"/>
      <c r="L912" s="23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23"/>
      <c r="J913" s="23"/>
      <c r="K913" s="24"/>
      <c r="L913" s="23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23"/>
      <c r="J914" s="23"/>
      <c r="K914" s="24"/>
      <c r="L914" s="23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23"/>
      <c r="J915" s="23"/>
      <c r="K915" s="24"/>
      <c r="L915" s="23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23"/>
      <c r="J916" s="23"/>
      <c r="K916" s="24"/>
      <c r="L916" s="23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23"/>
      <c r="J917" s="23"/>
      <c r="K917" s="24"/>
      <c r="L917" s="23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23"/>
      <c r="J918" s="23"/>
      <c r="K918" s="24"/>
      <c r="L918" s="23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23"/>
      <c r="J919" s="23"/>
      <c r="K919" s="24"/>
      <c r="L919" s="23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23"/>
      <c r="J920" s="23"/>
      <c r="K920" s="24"/>
      <c r="L920" s="23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23"/>
      <c r="J921" s="23"/>
      <c r="K921" s="24"/>
      <c r="L921" s="23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23"/>
      <c r="J922" s="23"/>
      <c r="K922" s="24"/>
      <c r="L922" s="23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23"/>
      <c r="J923" s="23"/>
      <c r="K923" s="24"/>
      <c r="L923" s="23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23"/>
      <c r="J924" s="23"/>
      <c r="K924" s="24"/>
      <c r="L924" s="23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23"/>
      <c r="J925" s="23"/>
      <c r="K925" s="24"/>
      <c r="L925" s="23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23"/>
      <c r="J926" s="23"/>
      <c r="K926" s="24"/>
      <c r="L926" s="23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23"/>
      <c r="J927" s="23"/>
      <c r="K927" s="24"/>
      <c r="L927" s="23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23"/>
      <c r="J928" s="23"/>
      <c r="K928" s="24"/>
      <c r="L928" s="23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23"/>
      <c r="J929" s="23"/>
      <c r="K929" s="24"/>
      <c r="L929" s="23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23"/>
      <c r="J930" s="23"/>
      <c r="K930" s="24"/>
      <c r="L930" s="23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23"/>
      <c r="J931" s="23"/>
      <c r="K931" s="24"/>
      <c r="L931" s="23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23"/>
      <c r="J932" s="23"/>
      <c r="K932" s="24"/>
      <c r="L932" s="23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23"/>
      <c r="J933" s="23"/>
      <c r="K933" s="24"/>
      <c r="L933" s="23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23"/>
      <c r="J934" s="23"/>
      <c r="K934" s="24"/>
      <c r="L934" s="23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23"/>
      <c r="J935" s="23"/>
      <c r="K935" s="24"/>
      <c r="L935" s="23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23"/>
      <c r="J936" s="23"/>
      <c r="K936" s="24"/>
      <c r="L936" s="23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23"/>
      <c r="J937" s="23"/>
      <c r="K937" s="24"/>
      <c r="L937" s="23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23"/>
      <c r="J938" s="23"/>
      <c r="K938" s="24"/>
      <c r="L938" s="23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23"/>
      <c r="J939" s="23"/>
      <c r="K939" s="24"/>
      <c r="L939" s="23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23"/>
      <c r="J940" s="23"/>
      <c r="K940" s="24"/>
      <c r="L940" s="23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23"/>
      <c r="J941" s="23"/>
      <c r="K941" s="24"/>
      <c r="L941" s="23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23"/>
      <c r="J942" s="23"/>
      <c r="K942" s="24"/>
      <c r="L942" s="23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23"/>
      <c r="J943" s="23"/>
      <c r="K943" s="24"/>
      <c r="L943" s="23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23"/>
      <c r="J944" s="23"/>
      <c r="K944" s="24"/>
      <c r="L944" s="23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23"/>
      <c r="J945" s="23"/>
      <c r="K945" s="24"/>
      <c r="L945" s="23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23"/>
      <c r="J946" s="23"/>
      <c r="K946" s="24"/>
      <c r="L946" s="23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23"/>
      <c r="J947" s="23"/>
      <c r="K947" s="24"/>
      <c r="L947" s="23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23"/>
      <c r="J948" s="23"/>
      <c r="K948" s="24"/>
      <c r="L948" s="23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23"/>
      <c r="J949" s="23"/>
      <c r="K949" s="24"/>
      <c r="L949" s="23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23"/>
      <c r="J950" s="23"/>
      <c r="K950" s="24"/>
      <c r="L950" s="23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23"/>
      <c r="J951" s="23"/>
      <c r="K951" s="24"/>
      <c r="L951" s="23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23"/>
      <c r="J952" s="23"/>
      <c r="K952" s="24"/>
      <c r="L952" s="23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23"/>
      <c r="J953" s="23"/>
      <c r="K953" s="24"/>
      <c r="L953" s="23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23"/>
      <c r="J954" s="23"/>
      <c r="K954" s="24"/>
      <c r="L954" s="23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23"/>
      <c r="J955" s="23"/>
      <c r="K955" s="24"/>
      <c r="L955" s="23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23"/>
      <c r="J956" s="23"/>
      <c r="K956" s="24"/>
      <c r="L956" s="23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23"/>
      <c r="J957" s="23"/>
      <c r="K957" s="24"/>
      <c r="L957" s="23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23"/>
      <c r="J958" s="23"/>
      <c r="K958" s="24"/>
      <c r="L958" s="23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23"/>
      <c r="J959" s="23"/>
      <c r="K959" s="24"/>
      <c r="L959" s="23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23"/>
      <c r="J960" s="23"/>
      <c r="K960" s="24"/>
      <c r="L960" s="23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23"/>
      <c r="J961" s="23"/>
      <c r="K961" s="24"/>
      <c r="L961" s="23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23"/>
      <c r="J962" s="23"/>
      <c r="K962" s="24"/>
      <c r="L962" s="23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23"/>
      <c r="J963" s="23"/>
      <c r="K963" s="24"/>
      <c r="L963" s="23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23"/>
      <c r="J964" s="23"/>
      <c r="K964" s="24"/>
      <c r="L964" s="23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23"/>
      <c r="J965" s="23"/>
      <c r="K965" s="24"/>
      <c r="L965" s="23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23"/>
      <c r="J966" s="23"/>
      <c r="K966" s="24"/>
      <c r="L966" s="23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23"/>
      <c r="J967" s="23"/>
      <c r="K967" s="24"/>
      <c r="L967" s="23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23"/>
      <c r="J968" s="23"/>
      <c r="K968" s="24"/>
      <c r="L968" s="23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23"/>
      <c r="J969" s="23"/>
      <c r="K969" s="24"/>
      <c r="L969" s="23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23"/>
      <c r="J970" s="23"/>
      <c r="K970" s="24"/>
      <c r="L970" s="23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23"/>
      <c r="J971" s="23"/>
      <c r="K971" s="24"/>
      <c r="L971" s="23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23"/>
      <c r="J972" s="23"/>
      <c r="K972" s="24"/>
      <c r="L972" s="23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23"/>
      <c r="J973" s="23"/>
      <c r="K973" s="24"/>
      <c r="L973" s="23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23"/>
      <c r="J974" s="23"/>
      <c r="K974" s="24"/>
      <c r="L974" s="23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23"/>
      <c r="J975" s="23"/>
      <c r="K975" s="24"/>
      <c r="L975" s="23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23"/>
      <c r="J976" s="23"/>
      <c r="K976" s="24"/>
      <c r="L976" s="23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23"/>
      <c r="J977" s="23"/>
      <c r="K977" s="24"/>
      <c r="L977" s="23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23"/>
      <c r="J978" s="23"/>
      <c r="K978" s="24"/>
      <c r="L978" s="23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23"/>
      <c r="J979" s="23"/>
      <c r="K979" s="24"/>
      <c r="L979" s="23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23"/>
      <c r="J980" s="23"/>
      <c r="K980" s="24"/>
      <c r="L980" s="23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23"/>
      <c r="J981" s="23"/>
      <c r="K981" s="24"/>
      <c r="L981" s="23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23"/>
      <c r="J982" s="23"/>
      <c r="K982" s="24"/>
      <c r="L982" s="23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23"/>
      <c r="J983" s="23"/>
      <c r="K983" s="24"/>
      <c r="L983" s="23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23"/>
      <c r="J984" s="23"/>
      <c r="K984" s="24"/>
      <c r="L984" s="23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23"/>
      <c r="J985" s="23"/>
      <c r="K985" s="24"/>
      <c r="L985" s="23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23"/>
      <c r="J986" s="23"/>
      <c r="K986" s="24"/>
      <c r="L986" s="23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23"/>
      <c r="J987" s="23"/>
      <c r="K987" s="24"/>
      <c r="L987" s="23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23"/>
      <c r="J988" s="23"/>
      <c r="K988" s="24"/>
      <c r="L988" s="23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23"/>
      <c r="J989" s="23"/>
      <c r="K989" s="24"/>
      <c r="L989" s="23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23"/>
      <c r="J990" s="23"/>
      <c r="K990" s="24"/>
      <c r="L990" s="23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23"/>
      <c r="J991" s="23"/>
      <c r="K991" s="24"/>
      <c r="L991" s="23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23"/>
      <c r="J992" s="23"/>
      <c r="K992" s="24"/>
      <c r="L992" s="23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23"/>
      <c r="J993" s="23"/>
      <c r="K993" s="24"/>
      <c r="L993" s="23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23"/>
      <c r="J994" s="23"/>
      <c r="K994" s="24"/>
      <c r="L994" s="23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23"/>
      <c r="J995" s="23"/>
      <c r="K995" s="24"/>
      <c r="L995" s="23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23"/>
      <c r="J996" s="23"/>
      <c r="K996" s="24"/>
      <c r="L996" s="23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23"/>
      <c r="J997" s="23"/>
      <c r="K997" s="24"/>
      <c r="L997" s="23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23"/>
      <c r="J998" s="23"/>
      <c r="K998" s="24"/>
      <c r="L998" s="23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11 K9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12">
    <cfRule type="colorScale" priority="3">
      <colorScale>
        <cfvo type="min"/>
        <cfvo type="max"/>
        <color rgb="FF57BB8A"/>
        <color rgb="FFFFFFFF"/>
      </colorScale>
    </cfRule>
  </conditionalFormatting>
  <conditionalFormatting sqref="L10 L8">
    <cfRule type="colorScale" priority="1">
      <colorScale>
        <cfvo type="min"/>
        <cfvo type="max"/>
        <color rgb="FF57BB8A"/>
        <color rgb="FFFFFFFF"/>
      </colorScale>
    </cfRule>
  </conditionalFormatting>
  <dataValidations count="4">
    <dataValidation type="custom" allowBlank="1" showDropDown="1" sqref="J6:J12" xr:uid="{00000000-0002-0000-0000-000000000000}">
      <formula1>OR(NOT(ISERROR(DATEVALUE(J6))), AND(ISNUMBER(J6), LEFT(CELL("format", J6))="D"))</formula1>
    </dataValidation>
    <dataValidation type="list" allowBlank="1" showErrorMessage="1" sqref="K13:L17" xr:uid="{00000000-0002-0000-0000-000001000000}">
      <formula1>#REF!</formula1>
    </dataValidation>
    <dataValidation type="list" allowBlank="1" showErrorMessage="1" sqref="L6:L12" xr:uid="{00000000-0002-0000-0000-000002000000}">
      <formula1>$L$27:$L$30</formula1>
    </dataValidation>
    <dataValidation type="list" allowBlank="1" showErrorMessage="1" sqref="K6:K12" xr:uid="{00000000-0002-0000-0000-000003000000}">
      <formula1>$K$27:$K$29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G1013"/>
  <sheetViews>
    <sheetView showGridLines="0" workbookViewId="0"/>
  </sheetViews>
  <sheetFormatPr defaultColWidth="12.59765625" defaultRowHeight="15" customHeight="1" x14ac:dyDescent="0.25"/>
  <cols>
    <col min="1" max="1" width="9.3984375" customWidth="1"/>
    <col min="2" max="2" width="2.59765625" customWidth="1"/>
    <col min="3" max="3" width="10.59765625" customWidth="1"/>
    <col min="4" max="4" width="14.19921875" customWidth="1"/>
    <col min="5" max="5" width="15.8984375" customWidth="1"/>
    <col min="6" max="7" width="10.59765625" customWidth="1"/>
    <col min="8" max="8" width="13.59765625" customWidth="1"/>
    <col min="9" max="9" width="8.5" customWidth="1"/>
    <col min="10" max="14" width="10.59765625" customWidth="1"/>
    <col min="15" max="15" width="13" customWidth="1"/>
    <col min="16" max="16" width="2.59765625" customWidth="1"/>
    <col min="17" max="20" width="9.3984375" customWidth="1"/>
    <col min="21" max="21" width="11.8984375" customWidth="1"/>
    <col min="22" max="22" width="19.5" customWidth="1"/>
    <col min="23" max="24" width="9.3984375" customWidth="1"/>
    <col min="25" max="25" width="12.09765625" customWidth="1"/>
    <col min="26" max="29" width="9.3984375" customWidth="1"/>
    <col min="30" max="30" width="16.19921875" customWidth="1"/>
    <col min="31" max="33" width="9.3984375" customWidth="1"/>
  </cols>
  <sheetData>
    <row r="2" spans="1:33" ht="15" hidden="1" customHeight="1" x14ac:dyDescent="0.25"/>
    <row r="3" spans="1:33" ht="15" hidden="1" customHeight="1" x14ac:dyDescent="0.25"/>
    <row r="4" spans="1:33" ht="14.4" hidden="1" x14ac:dyDescent="0.3">
      <c r="C4" s="26"/>
      <c r="D4" s="26"/>
      <c r="E4" s="26"/>
      <c r="F4" s="27"/>
    </row>
    <row r="5" spans="1:33" ht="14.4" hidden="1" x14ac:dyDescent="0.3">
      <c r="C5" s="26"/>
      <c r="D5" s="26"/>
      <c r="E5" s="26"/>
      <c r="F5" s="27"/>
    </row>
    <row r="6" spans="1:33" ht="39.75" customHeight="1" x14ac:dyDescent="0.25">
      <c r="B6" s="68" t="s">
        <v>82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  <c r="S6" s="68" t="s">
        <v>82</v>
      </c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4"/>
    </row>
    <row r="7" spans="1:33" ht="9.75" customHeight="1" x14ac:dyDescent="0.25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8"/>
      <c r="Q7" s="28"/>
      <c r="R7" s="28"/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8"/>
    </row>
    <row r="8" spans="1:33" ht="9.75" customHeight="1" x14ac:dyDescent="0.3">
      <c r="B8" s="30"/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4"/>
      <c r="Q8" s="28"/>
      <c r="S8" s="30"/>
      <c r="T8" s="31"/>
      <c r="U8" s="31"/>
      <c r="V8" s="31"/>
      <c r="W8" s="32"/>
      <c r="X8" s="33"/>
      <c r="Y8" s="33"/>
      <c r="Z8" s="33"/>
      <c r="AA8" s="33"/>
      <c r="AB8" s="33"/>
      <c r="AC8" s="33"/>
      <c r="AD8" s="33"/>
      <c r="AE8" s="33"/>
      <c r="AF8" s="33"/>
      <c r="AG8" s="34"/>
    </row>
    <row r="9" spans="1:33" ht="30" customHeight="1" x14ac:dyDescent="0.25">
      <c r="B9" s="35"/>
      <c r="C9" s="36" t="s">
        <v>1</v>
      </c>
      <c r="D9" s="37"/>
      <c r="E9" s="65" t="s">
        <v>83</v>
      </c>
      <c r="F9" s="64"/>
      <c r="G9" s="37"/>
      <c r="H9" s="65" t="s">
        <v>11</v>
      </c>
      <c r="I9" s="64"/>
      <c r="J9" s="38"/>
      <c r="K9" s="38"/>
      <c r="L9" s="38"/>
      <c r="M9" s="38"/>
      <c r="N9" s="38"/>
      <c r="O9" s="38"/>
      <c r="P9" s="39"/>
      <c r="Q9" s="28"/>
      <c r="S9" s="35"/>
      <c r="T9" s="36" t="s">
        <v>1</v>
      </c>
      <c r="U9" s="37"/>
      <c r="V9" s="65" t="s">
        <v>83</v>
      </c>
      <c r="W9" s="64"/>
      <c r="X9" s="37"/>
      <c r="Y9" s="65" t="s">
        <v>11</v>
      </c>
      <c r="Z9" s="64"/>
      <c r="AA9" s="38"/>
      <c r="AB9" s="38"/>
      <c r="AC9" s="38"/>
      <c r="AD9" s="38"/>
      <c r="AE9" s="38"/>
      <c r="AF9" s="38"/>
      <c r="AG9" s="39"/>
    </row>
    <row r="10" spans="1:33" ht="30" customHeight="1" x14ac:dyDescent="0.25">
      <c r="B10" s="35"/>
      <c r="C10" s="40" t="s">
        <v>15</v>
      </c>
      <c r="D10" s="41"/>
      <c r="E10" s="66" t="str">
        <f>VLOOKUP(C10,'Formato descripción HU'!$B$6:$O$12,5,0)</f>
        <v xml:space="preserve">Administrador, Fisioterapeuta, Auxiliar </v>
      </c>
      <c r="F10" s="64"/>
      <c r="G10" s="42"/>
      <c r="H10" s="67" t="str">
        <f>VLOOKUP(C10,'Formato descripción HU'!$B$6:$O$12,11,0)</f>
        <v>Terminado</v>
      </c>
      <c r="I10" s="64"/>
      <c r="J10" s="42"/>
      <c r="K10" s="38"/>
      <c r="L10" s="38"/>
      <c r="M10" s="38"/>
      <c r="N10" s="38"/>
      <c r="O10" s="38"/>
      <c r="P10" s="39"/>
      <c r="Q10" s="28"/>
      <c r="S10" s="35"/>
      <c r="T10" s="40" t="s">
        <v>27</v>
      </c>
      <c r="U10" s="41"/>
      <c r="V10" s="66" t="str">
        <f>VLOOKUP(T10,'Formato descripción HU'!$B$6:$O$12,5,0)</f>
        <v xml:space="preserve">Administrador, Fisioterapeuta, Auxiliar </v>
      </c>
      <c r="W10" s="64"/>
      <c r="X10" s="42"/>
      <c r="Y10" s="67" t="str">
        <f>VLOOKUP(T10,'Formato descripción HU'!$B$6:$O$12,11,0)</f>
        <v>Terminado</v>
      </c>
      <c r="Z10" s="64"/>
      <c r="AA10" s="42"/>
      <c r="AB10" s="38"/>
      <c r="AC10" s="38"/>
      <c r="AD10" s="38"/>
      <c r="AE10" s="38"/>
      <c r="AF10" s="38"/>
      <c r="AG10" s="39"/>
    </row>
    <row r="11" spans="1:33" ht="9.75" customHeight="1" x14ac:dyDescent="0.25">
      <c r="A11" s="28"/>
      <c r="B11" s="35"/>
      <c r="C11" s="43"/>
      <c r="D11" s="41"/>
      <c r="E11" s="44"/>
      <c r="F11" s="44"/>
      <c r="G11" s="42"/>
      <c r="H11" s="44"/>
      <c r="I11" s="44"/>
      <c r="J11" s="42"/>
      <c r="K11" s="44"/>
      <c r="L11" s="44"/>
      <c r="M11" s="38"/>
      <c r="N11" s="44"/>
      <c r="O11" s="44"/>
      <c r="P11" s="39"/>
      <c r="Q11" s="28"/>
      <c r="R11" s="28"/>
      <c r="S11" s="35"/>
      <c r="T11" s="43"/>
      <c r="U11" s="41"/>
      <c r="V11" s="44"/>
      <c r="W11" s="44"/>
      <c r="X11" s="42"/>
      <c r="Y11" s="44"/>
      <c r="Z11" s="44"/>
      <c r="AA11" s="42"/>
      <c r="AB11" s="44"/>
      <c r="AC11" s="44"/>
      <c r="AD11" s="38"/>
      <c r="AE11" s="44"/>
      <c r="AF11" s="44"/>
      <c r="AG11" s="39"/>
    </row>
    <row r="12" spans="1:33" ht="30" customHeight="1" x14ac:dyDescent="0.25">
      <c r="A12" s="28"/>
      <c r="B12" s="35"/>
      <c r="C12" s="36" t="s">
        <v>84</v>
      </c>
      <c r="D12" s="41"/>
      <c r="E12" s="65" t="s">
        <v>10</v>
      </c>
      <c r="F12" s="64"/>
      <c r="G12" s="42"/>
      <c r="H12" s="65" t="s">
        <v>85</v>
      </c>
      <c r="I12" s="64"/>
      <c r="J12" s="42"/>
      <c r="K12" s="44"/>
      <c r="L12" s="44"/>
      <c r="M12" s="38"/>
      <c r="N12" s="44"/>
      <c r="O12" s="44"/>
      <c r="P12" s="39"/>
      <c r="Q12" s="28"/>
      <c r="R12" s="28"/>
      <c r="S12" s="35"/>
      <c r="T12" s="36" t="s">
        <v>84</v>
      </c>
      <c r="U12" s="41"/>
      <c r="V12" s="65" t="s">
        <v>10</v>
      </c>
      <c r="W12" s="64"/>
      <c r="X12" s="42"/>
      <c r="Y12" s="65" t="s">
        <v>85</v>
      </c>
      <c r="Z12" s="64"/>
      <c r="AA12" s="42"/>
      <c r="AB12" s="44"/>
      <c r="AC12" s="44"/>
      <c r="AD12" s="38"/>
      <c r="AE12" s="44"/>
      <c r="AF12" s="44"/>
      <c r="AG12" s="39"/>
    </row>
    <row r="13" spans="1:33" ht="30" customHeight="1" x14ac:dyDescent="0.25">
      <c r="A13" s="28"/>
      <c r="B13" s="35"/>
      <c r="C13" s="40">
        <f>VLOOKUP('Historia de Usuario'!C10,'Formato descripción HU'!$B$6:$O$12,8,0)</f>
        <v>3</v>
      </c>
      <c r="D13" s="45"/>
      <c r="E13" s="67" t="str">
        <f>VLOOKUP(C10,'Formato descripción HU'!$B$6:$O$12,10,0)</f>
        <v>Alta</v>
      </c>
      <c r="F13" s="64"/>
      <c r="G13" s="46"/>
      <c r="H13" s="67" t="str">
        <f>VLOOKUP(C10,'Formato descripción HU'!$B$6:$O$12,7,0)</f>
        <v>Saray Cañarte</v>
      </c>
      <c r="I13" s="64"/>
      <c r="J13" s="42"/>
      <c r="K13" s="44"/>
      <c r="L13" s="44"/>
      <c r="M13" s="38"/>
      <c r="N13" s="44"/>
      <c r="O13" s="44"/>
      <c r="P13" s="39"/>
      <c r="Q13" s="28"/>
      <c r="R13" s="28"/>
      <c r="S13" s="35"/>
      <c r="T13" s="47">
        <f>VLOOKUP('Historia de Usuario'!T10,'Formato descripción HU'!$B$6:$O$12,8,0)</f>
        <v>46143</v>
      </c>
      <c r="U13" s="41"/>
      <c r="V13" s="67" t="str">
        <f>VLOOKUP(T10,'Formato descripción HU'!$B$6:$O$12,10,0)</f>
        <v xml:space="preserve">Media </v>
      </c>
      <c r="W13" s="64"/>
      <c r="X13" s="42"/>
      <c r="Y13" s="67" t="str">
        <f>VLOOKUP(T10,'Formato descripción HU'!$B$6:$O$12,7,0)</f>
        <v>Doménica Villagómez</v>
      </c>
      <c r="Z13" s="64"/>
      <c r="AA13" s="42"/>
      <c r="AB13" s="44"/>
      <c r="AC13" s="44"/>
      <c r="AD13" s="38"/>
      <c r="AE13" s="44"/>
      <c r="AF13" s="44"/>
      <c r="AG13" s="39"/>
    </row>
    <row r="14" spans="1:33" ht="9.75" customHeight="1" x14ac:dyDescent="0.25">
      <c r="A14" s="28"/>
      <c r="B14" s="35"/>
      <c r="C14" s="38"/>
      <c r="D14" s="41"/>
      <c r="E14" s="48"/>
      <c r="F14" s="48"/>
      <c r="G14" s="42"/>
      <c r="H14" s="42"/>
      <c r="I14" s="38"/>
      <c r="J14" s="38"/>
      <c r="K14" s="38"/>
      <c r="L14" s="38"/>
      <c r="M14" s="38"/>
      <c r="N14" s="38"/>
      <c r="O14" s="38"/>
      <c r="P14" s="39"/>
      <c r="Q14" s="28"/>
      <c r="R14" s="28"/>
      <c r="S14" s="35"/>
      <c r="T14" s="38"/>
      <c r="U14" s="41"/>
      <c r="V14" s="38"/>
      <c r="W14" s="38"/>
      <c r="X14" s="42"/>
      <c r="Y14" s="42"/>
      <c r="Z14" s="38"/>
      <c r="AA14" s="38"/>
      <c r="AB14" s="38"/>
      <c r="AC14" s="38"/>
      <c r="AD14" s="38"/>
      <c r="AE14" s="38"/>
      <c r="AF14" s="38"/>
      <c r="AG14" s="39"/>
    </row>
    <row r="15" spans="1:33" ht="19.5" customHeight="1" x14ac:dyDescent="0.25">
      <c r="A15" s="28"/>
      <c r="B15" s="35"/>
      <c r="C15" s="78" t="s">
        <v>86</v>
      </c>
      <c r="D15" s="69" t="str">
        <f>VLOOKUP(C10,'Formato descripción HU'!$B$6:$O$12,3,0)</f>
        <v>El programa deberá tener una interfaz gráfica donde los usuarios ingresen sus credenciales, sean validadas y accedan al sistema.</v>
      </c>
      <c r="E15" s="71"/>
      <c r="F15" s="49"/>
      <c r="G15" s="78" t="s">
        <v>87</v>
      </c>
      <c r="H15" s="69" t="str">
        <f>VLOOKUP(C10,'Formato descripción HU'!$B$6:$O$12,4,0)</f>
        <v>Para controlar el acceso al sistema según el rol del usuario.</v>
      </c>
      <c r="I15" s="70"/>
      <c r="J15" s="71"/>
      <c r="K15" s="49"/>
      <c r="L15" s="78" t="s">
        <v>88</v>
      </c>
      <c r="M15" s="69" t="str">
        <f>VLOOKUP(C10,'Formato descripción HU'!$B$6:$O$12,6,0)</f>
        <v>Implementando una ventana de inicio de sesión la cual solicitará credenciales (correo/usuario y contraseña) creadas por el administrador para poder acceder a las funciones del sistema.</v>
      </c>
      <c r="N15" s="70"/>
      <c r="O15" s="71"/>
      <c r="P15" s="39"/>
      <c r="Q15" s="28"/>
      <c r="R15" s="28"/>
      <c r="S15" s="35"/>
      <c r="T15" s="78" t="s">
        <v>86</v>
      </c>
      <c r="U15" s="69" t="str">
        <f>VLOOKUP(T10,'Formato descripción HU'!$B$6:$O$12,3,0)</f>
        <v>El sistema deberá tener una interfaz gráfica donde los usuarios puedan recuperar su contraseña de acceso.</v>
      </c>
      <c r="V15" s="71"/>
      <c r="W15" s="49"/>
      <c r="X15" s="78" t="s">
        <v>87</v>
      </c>
      <c r="Y15" s="69" t="str">
        <f>VLOOKUP(T10,'Formato descripción HU'!$B$6:$O$12,4,0)</f>
        <v>Para permitir la recuperación de credenciales de los usuarios en caso de haber olvidado la contraseña</v>
      </c>
      <c r="Z15" s="70"/>
      <c r="AA15" s="71"/>
      <c r="AB15" s="49"/>
      <c r="AC15" s="78" t="s">
        <v>88</v>
      </c>
      <c r="AD15" s="69" t="str">
        <f>VLOOKUP(T10,'Formato descripción HU'!$B$6:$O$12,6,0)</f>
        <v>Creando una ventana de recuperación de contraseña la cual requerirá ingresar el correo electrónico asociado a la cuenta para enviar una validación de la recuperación y pedir la nueva contraseña.</v>
      </c>
      <c r="AE15" s="70"/>
      <c r="AF15" s="71"/>
      <c r="AG15" s="39"/>
    </row>
    <row r="16" spans="1:33" ht="27.75" customHeight="1" x14ac:dyDescent="0.25">
      <c r="A16" s="28"/>
      <c r="B16" s="35"/>
      <c r="C16" s="79"/>
      <c r="D16" s="72"/>
      <c r="E16" s="74"/>
      <c r="F16" s="49"/>
      <c r="G16" s="79"/>
      <c r="H16" s="72"/>
      <c r="I16" s="73"/>
      <c r="J16" s="74"/>
      <c r="K16" s="49"/>
      <c r="L16" s="79"/>
      <c r="M16" s="72"/>
      <c r="N16" s="73"/>
      <c r="O16" s="74"/>
      <c r="P16" s="39"/>
      <c r="Q16" s="28"/>
      <c r="R16" s="28"/>
      <c r="S16" s="35"/>
      <c r="T16" s="79"/>
      <c r="U16" s="72"/>
      <c r="V16" s="74"/>
      <c r="W16" s="49"/>
      <c r="X16" s="79"/>
      <c r="Y16" s="72"/>
      <c r="Z16" s="73"/>
      <c r="AA16" s="74"/>
      <c r="AB16" s="49"/>
      <c r="AC16" s="79"/>
      <c r="AD16" s="72"/>
      <c r="AE16" s="73"/>
      <c r="AF16" s="74"/>
      <c r="AG16" s="39"/>
    </row>
    <row r="17" spans="1:33" ht="19.5" customHeight="1" x14ac:dyDescent="0.25">
      <c r="A17" s="28"/>
      <c r="B17" s="35"/>
      <c r="C17" s="80"/>
      <c r="D17" s="75"/>
      <c r="E17" s="77"/>
      <c r="F17" s="49"/>
      <c r="G17" s="80"/>
      <c r="H17" s="75"/>
      <c r="I17" s="76"/>
      <c r="J17" s="77"/>
      <c r="K17" s="49"/>
      <c r="L17" s="80"/>
      <c r="M17" s="75"/>
      <c r="N17" s="76"/>
      <c r="O17" s="77"/>
      <c r="P17" s="39"/>
      <c r="Q17" s="28"/>
      <c r="R17" s="28"/>
      <c r="S17" s="35"/>
      <c r="T17" s="80"/>
      <c r="U17" s="75"/>
      <c r="V17" s="77"/>
      <c r="W17" s="49"/>
      <c r="X17" s="80"/>
      <c r="Y17" s="75"/>
      <c r="Z17" s="76"/>
      <c r="AA17" s="77"/>
      <c r="AB17" s="49"/>
      <c r="AC17" s="80"/>
      <c r="AD17" s="75"/>
      <c r="AE17" s="76"/>
      <c r="AF17" s="77"/>
      <c r="AG17" s="39"/>
    </row>
    <row r="18" spans="1:33" ht="9.75" customHeight="1" x14ac:dyDescent="0.25">
      <c r="A18" s="28"/>
      <c r="B18" s="35"/>
      <c r="C18" s="49"/>
      <c r="D18" s="49"/>
      <c r="E18" s="49"/>
      <c r="F18" s="49"/>
      <c r="G18" s="44"/>
      <c r="H18" s="44"/>
      <c r="I18" s="44"/>
      <c r="J18" s="49"/>
      <c r="K18" s="49"/>
      <c r="L18" s="49"/>
      <c r="M18" s="49"/>
      <c r="N18" s="49"/>
      <c r="O18" s="49"/>
      <c r="P18" s="39"/>
      <c r="Q18" s="28"/>
      <c r="R18" s="28"/>
      <c r="S18" s="35"/>
      <c r="T18" s="49"/>
      <c r="U18" s="49"/>
      <c r="V18" s="49"/>
      <c r="W18" s="49"/>
      <c r="X18" s="44"/>
      <c r="Y18" s="44"/>
      <c r="Z18" s="44"/>
      <c r="AA18" s="49"/>
      <c r="AB18" s="49"/>
      <c r="AC18" s="49"/>
      <c r="AD18" s="49"/>
      <c r="AE18" s="49"/>
      <c r="AF18" s="49"/>
      <c r="AG18" s="39"/>
    </row>
    <row r="19" spans="1:33" ht="19.5" customHeight="1" x14ac:dyDescent="0.25">
      <c r="B19" s="35"/>
      <c r="C19" s="87" t="s">
        <v>89</v>
      </c>
      <c r="D19" s="71"/>
      <c r="E19" s="81" t="str">
        <f>VLOOKUP(C10,'Formato descripción HU'!$B$6:$O$12,14,0)</f>
        <v>Iniciar Sesión</v>
      </c>
      <c r="F19" s="82"/>
      <c r="G19" s="82"/>
      <c r="H19" s="82"/>
      <c r="I19" s="82"/>
      <c r="J19" s="82"/>
      <c r="K19" s="82"/>
      <c r="L19" s="82"/>
      <c r="M19" s="82"/>
      <c r="N19" s="82"/>
      <c r="O19" s="83"/>
      <c r="P19" s="39"/>
      <c r="Q19" s="28"/>
      <c r="S19" s="35"/>
      <c r="T19" s="87" t="s">
        <v>89</v>
      </c>
      <c r="U19" s="71"/>
      <c r="V19" s="81" t="str">
        <f>VLOOKUP(T10,'Formato descripción HU'!$B$6:$O$12,14,0)</f>
        <v>Recuperación de Contraseña</v>
      </c>
      <c r="W19" s="82"/>
      <c r="X19" s="82"/>
      <c r="Y19" s="82"/>
      <c r="Z19" s="82"/>
      <c r="AA19" s="82"/>
      <c r="AB19" s="82"/>
      <c r="AC19" s="82"/>
      <c r="AD19" s="82"/>
      <c r="AE19" s="82"/>
      <c r="AF19" s="83"/>
      <c r="AG19" s="39"/>
    </row>
    <row r="20" spans="1:33" ht="19.5" customHeight="1" x14ac:dyDescent="0.25">
      <c r="B20" s="35"/>
      <c r="C20" s="75"/>
      <c r="D20" s="77"/>
      <c r="E20" s="84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39"/>
      <c r="Q20" s="28"/>
      <c r="S20" s="35"/>
      <c r="T20" s="75"/>
      <c r="U20" s="77"/>
      <c r="V20" s="84"/>
      <c r="W20" s="85"/>
      <c r="X20" s="85"/>
      <c r="Y20" s="85"/>
      <c r="Z20" s="85"/>
      <c r="AA20" s="85"/>
      <c r="AB20" s="85"/>
      <c r="AC20" s="85"/>
      <c r="AD20" s="85"/>
      <c r="AE20" s="85"/>
      <c r="AF20" s="86"/>
      <c r="AG20" s="39"/>
    </row>
    <row r="21" spans="1:33" ht="9.75" customHeight="1" x14ac:dyDescent="0.25">
      <c r="B21" s="35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39"/>
      <c r="Q21" s="28"/>
      <c r="S21" s="35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39"/>
    </row>
    <row r="22" spans="1:33" ht="19.5" customHeight="1" x14ac:dyDescent="0.25">
      <c r="A22" s="28"/>
      <c r="B22" s="35"/>
      <c r="C22" s="88" t="s">
        <v>90</v>
      </c>
      <c r="D22" s="71"/>
      <c r="E22" s="89" t="str">
        <f>VLOOKUP(C10,'Formato descripción HU'!$B$6:$O$12,12,0)</f>
        <v xml:space="preserve">El usuario ingresará al sistema mediante un usuario y contraseña previamente creados, el sistema valida redirección por rol. Si el usuario ingresa erróneamentesus credenciales debe volver a intentarlo , después de 3 intentos de inicio de sesión consecutivos fallidos, se bloqueará el acceso al sistema. </v>
      </c>
      <c r="F22" s="70"/>
      <c r="G22" s="70"/>
      <c r="H22" s="71"/>
      <c r="I22" s="49"/>
      <c r="J22" s="88" t="s">
        <v>13</v>
      </c>
      <c r="K22" s="71"/>
      <c r="L22" s="69" t="str">
        <f>VLOOKUP(C10,'Formato descripción HU'!$B$6:$O$12,13,0)</f>
        <v>Debe registrar auditoría de inicio de sesiín (usuario, fecha, hora, rol).</v>
      </c>
      <c r="M22" s="70"/>
      <c r="N22" s="70"/>
      <c r="O22" s="71"/>
      <c r="P22" s="39"/>
      <c r="Q22" s="28"/>
      <c r="R22" s="28"/>
      <c r="S22" s="35"/>
      <c r="T22" s="88" t="s">
        <v>90</v>
      </c>
      <c r="U22" s="71"/>
      <c r="V22" s="89" t="str">
        <f>VLOOKUP(T10,'Formato descripción HU'!$B$6:$O$12,12,0)</f>
        <v>El usuario selecciona la opción de recuperar contraseña, ingresa el correo electrónico asociado a la cuenta y verifica la notificación de recuperación. Una vez aprobado, ingresa la nueva contraseña dos veces y aplica el cambio e inicia sesión con la contraseña actualizada. Si las contraseñas no coinciden se mostrará un mensaje "Las contraseñas no coinciden".</v>
      </c>
      <c r="W22" s="70"/>
      <c r="X22" s="70"/>
      <c r="Y22" s="71"/>
      <c r="Z22" s="49"/>
      <c r="AA22" s="88" t="s">
        <v>13</v>
      </c>
      <c r="AB22" s="71"/>
      <c r="AC22" s="69">
        <f>VLOOKUP(T10,'Formato descripción HU'!$B$6:$O$12,13,0)</f>
        <v>0</v>
      </c>
      <c r="AD22" s="70"/>
      <c r="AE22" s="70"/>
      <c r="AF22" s="71"/>
      <c r="AG22" s="39"/>
    </row>
    <row r="23" spans="1:33" ht="42" customHeight="1" x14ac:dyDescent="0.25">
      <c r="A23" s="28"/>
      <c r="B23" s="35"/>
      <c r="C23" s="72"/>
      <c r="D23" s="74"/>
      <c r="E23" s="72"/>
      <c r="F23" s="73"/>
      <c r="G23" s="73"/>
      <c r="H23" s="74"/>
      <c r="I23" s="49"/>
      <c r="J23" s="72"/>
      <c r="K23" s="74"/>
      <c r="L23" s="72"/>
      <c r="M23" s="73"/>
      <c r="N23" s="73"/>
      <c r="O23" s="74"/>
      <c r="P23" s="39"/>
      <c r="Q23" s="28"/>
      <c r="R23" s="28"/>
      <c r="S23" s="35"/>
      <c r="T23" s="72"/>
      <c r="U23" s="74"/>
      <c r="V23" s="72"/>
      <c r="W23" s="73"/>
      <c r="X23" s="73"/>
      <c r="Y23" s="74"/>
      <c r="Z23" s="49"/>
      <c r="AA23" s="72"/>
      <c r="AB23" s="74"/>
      <c r="AC23" s="72"/>
      <c r="AD23" s="73"/>
      <c r="AE23" s="73"/>
      <c r="AF23" s="74"/>
      <c r="AG23" s="39"/>
    </row>
    <row r="24" spans="1:33" ht="19.5" customHeight="1" x14ac:dyDescent="0.25">
      <c r="A24" s="28"/>
      <c r="B24" s="35"/>
      <c r="C24" s="75"/>
      <c r="D24" s="77"/>
      <c r="E24" s="75"/>
      <c r="F24" s="76"/>
      <c r="G24" s="76"/>
      <c r="H24" s="77"/>
      <c r="I24" s="49"/>
      <c r="J24" s="75"/>
      <c r="K24" s="77"/>
      <c r="L24" s="75"/>
      <c r="M24" s="76"/>
      <c r="N24" s="76"/>
      <c r="O24" s="77"/>
      <c r="P24" s="39"/>
      <c r="Q24" s="28"/>
      <c r="R24" s="28"/>
      <c r="S24" s="35"/>
      <c r="T24" s="75"/>
      <c r="U24" s="77"/>
      <c r="V24" s="75"/>
      <c r="W24" s="76"/>
      <c r="X24" s="76"/>
      <c r="Y24" s="77"/>
      <c r="Z24" s="49"/>
      <c r="AA24" s="75"/>
      <c r="AB24" s="77"/>
      <c r="AC24" s="75"/>
      <c r="AD24" s="76"/>
      <c r="AE24" s="76"/>
      <c r="AF24" s="77"/>
      <c r="AG24" s="39"/>
    </row>
    <row r="25" spans="1:33" ht="9.75" customHeight="1" x14ac:dyDescent="0.25">
      <c r="A25" s="28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2"/>
      <c r="Q25" s="28"/>
      <c r="R25" s="28"/>
      <c r="S25" s="50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2"/>
    </row>
    <row r="26" spans="1:33" ht="19.5" customHeight="1" x14ac:dyDescent="0.3">
      <c r="C26" s="26"/>
      <c r="D26" s="26"/>
      <c r="E26" s="26"/>
      <c r="F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spans="1:33" ht="21" x14ac:dyDescent="0.25">
      <c r="A27" s="28"/>
      <c r="B27" s="91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spans="1:33" ht="19.5" customHeight="1" x14ac:dyDescent="0.4">
      <c r="A28" s="28"/>
      <c r="B28" s="90" t="s">
        <v>82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4"/>
      <c r="Q28" s="28"/>
      <c r="R28" s="28"/>
      <c r="S28" s="90" t="s">
        <v>82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4"/>
    </row>
    <row r="29" spans="1:33" ht="19.5" customHeight="1" x14ac:dyDescent="0.25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9.5" customHeight="1" x14ac:dyDescent="0.25">
      <c r="B30" s="3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4"/>
      <c r="Q30" s="28"/>
      <c r="R30" s="28"/>
      <c r="S30" s="30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4"/>
    </row>
    <row r="31" spans="1:33" ht="19.5" customHeight="1" x14ac:dyDescent="0.3">
      <c r="A31" s="28"/>
      <c r="B31" s="35"/>
      <c r="C31" s="53" t="s">
        <v>1</v>
      </c>
      <c r="D31" s="38"/>
      <c r="E31" s="95" t="s">
        <v>83</v>
      </c>
      <c r="F31" s="64"/>
      <c r="G31" s="38"/>
      <c r="H31" s="95" t="s">
        <v>11</v>
      </c>
      <c r="I31" s="64"/>
      <c r="J31" s="38"/>
      <c r="K31" s="38"/>
      <c r="L31" s="38"/>
      <c r="M31" s="38"/>
      <c r="N31" s="38"/>
      <c r="O31" s="38"/>
      <c r="P31" s="39"/>
      <c r="Q31" s="28"/>
      <c r="R31" s="28"/>
      <c r="S31" s="35"/>
      <c r="T31" s="53" t="s">
        <v>1</v>
      </c>
      <c r="U31" s="38"/>
      <c r="V31" s="95" t="s">
        <v>83</v>
      </c>
      <c r="W31" s="64"/>
      <c r="X31" s="38"/>
      <c r="Y31" s="95" t="s">
        <v>11</v>
      </c>
      <c r="Z31" s="64"/>
      <c r="AA31" s="38"/>
      <c r="AB31" s="38"/>
      <c r="AC31" s="38"/>
      <c r="AD31" s="38"/>
      <c r="AE31" s="38"/>
      <c r="AF31" s="38"/>
      <c r="AG31" s="39"/>
    </row>
    <row r="32" spans="1:33" ht="19.5" customHeight="1" x14ac:dyDescent="0.3">
      <c r="A32" s="28"/>
      <c r="B32" s="35"/>
      <c r="C32" s="54" t="s">
        <v>36</v>
      </c>
      <c r="D32" s="38"/>
      <c r="E32" s="96" t="str">
        <f>VLOOKUP(C32,'Formato descripción HU'!$B$6:$O$12,5,0)</f>
        <v>Auxiliar, Paciente</v>
      </c>
      <c r="F32" s="64"/>
      <c r="G32" s="38"/>
      <c r="H32" s="97" t="str">
        <f>VLOOKUP(C32,'Formato descripción HU'!$B$6:$O$12,11,0)</f>
        <v>Terminado</v>
      </c>
      <c r="I32" s="64"/>
      <c r="J32" s="38"/>
      <c r="K32" s="38"/>
      <c r="L32" s="38"/>
      <c r="M32" s="38"/>
      <c r="N32" s="38"/>
      <c r="O32" s="38"/>
      <c r="P32" s="39"/>
      <c r="S32" s="35"/>
      <c r="T32" s="54" t="s">
        <v>45</v>
      </c>
      <c r="U32" s="38"/>
      <c r="V32" s="96" t="str">
        <f>VLOOKUP(T32,'Formato descripción HU'!$B$6:$O$12,5,0)</f>
        <v>Auxiliar</v>
      </c>
      <c r="W32" s="64"/>
      <c r="X32" s="38"/>
      <c r="Y32" s="97" t="str">
        <f>VLOOKUP(T32,'Formato descripción HU'!$B$6:$O$12,11,0)</f>
        <v>Terminado</v>
      </c>
      <c r="Z32" s="64"/>
      <c r="AA32" s="38"/>
      <c r="AB32" s="38"/>
      <c r="AC32" s="38"/>
      <c r="AD32" s="38"/>
      <c r="AE32" s="38"/>
      <c r="AF32" s="38"/>
      <c r="AG32" s="39"/>
    </row>
    <row r="33" spans="1:33" ht="19.5" customHeight="1" x14ac:dyDescent="0.25">
      <c r="A33" s="28"/>
      <c r="B33" s="35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9"/>
      <c r="S33" s="35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9"/>
    </row>
    <row r="34" spans="1:33" ht="19.5" customHeight="1" x14ac:dyDescent="0.3">
      <c r="A34" s="28"/>
      <c r="B34" s="35"/>
      <c r="C34" s="53" t="s">
        <v>84</v>
      </c>
      <c r="D34" s="38"/>
      <c r="E34" s="95" t="s">
        <v>10</v>
      </c>
      <c r="F34" s="64"/>
      <c r="G34" s="38"/>
      <c r="H34" s="95" t="s">
        <v>85</v>
      </c>
      <c r="I34" s="64"/>
      <c r="J34" s="38"/>
      <c r="K34" s="38"/>
      <c r="L34" s="38"/>
      <c r="M34" s="38"/>
      <c r="N34" s="38"/>
      <c r="O34" s="38"/>
      <c r="P34" s="39"/>
      <c r="S34" s="35"/>
      <c r="T34" s="53" t="s">
        <v>84</v>
      </c>
      <c r="U34" s="38"/>
      <c r="V34" s="95" t="s">
        <v>10</v>
      </c>
      <c r="W34" s="64"/>
      <c r="X34" s="38"/>
      <c r="Y34" s="95" t="s">
        <v>85</v>
      </c>
      <c r="Z34" s="64"/>
      <c r="AA34" s="38"/>
      <c r="AB34" s="38"/>
      <c r="AC34" s="38"/>
      <c r="AD34" s="38"/>
      <c r="AE34" s="38"/>
      <c r="AF34" s="38"/>
      <c r="AG34" s="39"/>
    </row>
    <row r="35" spans="1:33" ht="19.5" customHeight="1" x14ac:dyDescent="0.3">
      <c r="A35" s="28"/>
      <c r="B35" s="35"/>
      <c r="C35" s="54">
        <f>VLOOKUP('Historia de Usuario'!C32,'Formato descripción HU'!$B$6:$O$12,8,0)</f>
        <v>1.5</v>
      </c>
      <c r="D35" s="38"/>
      <c r="E35" s="96" t="str">
        <f>VLOOKUP(C32,'Formato descripción HU'!$B$6:$O$12,10,0)</f>
        <v xml:space="preserve">Media </v>
      </c>
      <c r="F35" s="64"/>
      <c r="G35" s="38"/>
      <c r="H35" s="96" t="str">
        <f>VLOOKUP(C32,'Formato descripción HU'!$B$6:$O$12,7,0)</f>
        <v>Danny Ayuquina</v>
      </c>
      <c r="I35" s="64"/>
      <c r="J35" s="38"/>
      <c r="K35" s="38"/>
      <c r="L35" s="38"/>
      <c r="M35" s="38"/>
      <c r="N35" s="38"/>
      <c r="O35" s="38"/>
      <c r="P35" s="39"/>
      <c r="S35" s="35"/>
      <c r="T35" s="54">
        <f>VLOOKUP('Historia de Usuario'!T32,'Formato descripción HU'!$B$6:$O$12,8,0)</f>
        <v>8</v>
      </c>
      <c r="U35" s="38"/>
      <c r="V35" s="96" t="str">
        <f>VLOOKUP(T32,'Formato descripción HU'!$B$6:$O$12,10,0)</f>
        <v>Alta</v>
      </c>
      <c r="W35" s="64"/>
      <c r="X35" s="38"/>
      <c r="Y35" s="96" t="str">
        <f>VLOOKUP(T32,'Formato descripción HU'!$B$6:$O$12,7,0)</f>
        <v>Saray Cañarte</v>
      </c>
      <c r="Z35" s="64"/>
      <c r="AA35" s="38"/>
      <c r="AB35" s="38"/>
      <c r="AC35" s="38"/>
      <c r="AD35" s="38"/>
      <c r="AE35" s="38"/>
      <c r="AF35" s="38"/>
      <c r="AG35" s="39"/>
    </row>
    <row r="36" spans="1:33" ht="19.5" customHeight="1" x14ac:dyDescent="0.25">
      <c r="A36" s="28"/>
      <c r="B36" s="35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S36" s="35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9"/>
    </row>
    <row r="37" spans="1:33" ht="38.25" customHeight="1" x14ac:dyDescent="0.25">
      <c r="A37" s="28"/>
      <c r="B37" s="35"/>
      <c r="C37" s="102" t="s">
        <v>86</v>
      </c>
      <c r="D37" s="101" t="str">
        <f>VLOOKUP(C32,'Formato descripción HU'!$B$6:$O$12,3,0)</f>
        <v>El sistema deberá detectar automáticamente eventos en citas (creación, cancelación, reprogramación) y notificar al paciente mediante el canal configurado.</v>
      </c>
      <c r="E37" s="71"/>
      <c r="F37" s="55"/>
      <c r="G37" s="102" t="s">
        <v>87</v>
      </c>
      <c r="H37" s="101" t="str">
        <f>VLOOKUP(C32,'Formato descripción HU'!$B$6:$O$12,4,0)</f>
        <v>Para informar al paciente de los cambios realizados en su cita.</v>
      </c>
      <c r="I37" s="70"/>
      <c r="J37" s="71"/>
      <c r="K37" s="55"/>
      <c r="L37" s="102" t="s">
        <v>88</v>
      </c>
      <c r="M37" s="103" t="str">
        <f>VLOOKUP(C32,'Formato descripción HU'!$B$6:$O$12,6,0)</f>
        <v>Detectando automáticamente la creación o cambio de estado en una cita, recuperando los datos de la cita (fecha, hora, servicio) y del paciente (teléfono, correo), seleccionando la plantilla adecuada y enviando la notificación a través del canal configurado (WhatsApp o correo electrónico). El sistema registra el resultado del envío en el log de auditoría.</v>
      </c>
      <c r="N37" s="70"/>
      <c r="O37" s="71"/>
      <c r="P37" s="39"/>
      <c r="S37" s="35"/>
      <c r="T37" s="102" t="s">
        <v>86</v>
      </c>
      <c r="U37" s="101" t="str">
        <f>VLOOKUP(T32,'Formato descripción HU'!$B$6:$O$12,3,0)</f>
        <v>El sistema deberá permitir registrar, modificar, cancelar y consultar citas médicas mediante una interfaz gráfica, validando la disponibilidad de horarios, pacientes y consultorios.</v>
      </c>
      <c r="V37" s="71"/>
      <c r="W37" s="55"/>
      <c r="X37" s="102" t="s">
        <v>87</v>
      </c>
      <c r="Y37" s="101" t="str">
        <f>VLOOKUP(T32,'Formato descripción HU'!$B$6:$O$12,4,0)</f>
        <v>Para administrar eficientemente la agenda de atención médica y garantizar la correcta asignación de citas.</v>
      </c>
      <c r="Z37" s="70"/>
      <c r="AA37" s="71"/>
      <c r="AB37" s="55"/>
      <c r="AC37" s="102" t="s">
        <v>88</v>
      </c>
      <c r="AD37" s="101" t="str">
        <f>VLOOKUP(T32,'Formato descripción HU'!$B$6:$O$12,6,0)</f>
        <v>Implementando un módulo de gestión de citas para crear, modificar, cancelar y consultar citas médicas. El sistema validará existencia y estado activo del paciente, la disponibilidad de horarios y consultorios, registrará cambios realizados y actualizará el estado de la cita.</v>
      </c>
      <c r="AE37" s="70"/>
      <c r="AF37" s="71"/>
      <c r="AG37" s="39"/>
    </row>
    <row r="38" spans="1:33" ht="33.75" customHeight="1" x14ac:dyDescent="0.25">
      <c r="B38" s="35"/>
      <c r="C38" s="79"/>
      <c r="D38" s="72"/>
      <c r="E38" s="74"/>
      <c r="F38" s="55"/>
      <c r="G38" s="79"/>
      <c r="H38" s="72"/>
      <c r="I38" s="73"/>
      <c r="J38" s="74"/>
      <c r="K38" s="55"/>
      <c r="L38" s="79"/>
      <c r="M38" s="72"/>
      <c r="N38" s="73"/>
      <c r="O38" s="74"/>
      <c r="P38" s="39"/>
      <c r="S38" s="35"/>
      <c r="T38" s="79"/>
      <c r="U38" s="72"/>
      <c r="V38" s="74"/>
      <c r="W38" s="55"/>
      <c r="X38" s="79"/>
      <c r="Y38" s="72"/>
      <c r="Z38" s="73"/>
      <c r="AA38" s="74"/>
      <c r="AB38" s="55"/>
      <c r="AC38" s="79"/>
      <c r="AD38" s="72"/>
      <c r="AE38" s="73"/>
      <c r="AF38" s="74"/>
      <c r="AG38" s="39"/>
    </row>
    <row r="39" spans="1:33" ht="19.5" customHeight="1" x14ac:dyDescent="0.25">
      <c r="B39" s="35"/>
      <c r="C39" s="80"/>
      <c r="D39" s="75"/>
      <c r="E39" s="77"/>
      <c r="F39" s="55"/>
      <c r="G39" s="80"/>
      <c r="H39" s="75"/>
      <c r="I39" s="76"/>
      <c r="J39" s="77"/>
      <c r="K39" s="55"/>
      <c r="L39" s="80"/>
      <c r="M39" s="75"/>
      <c r="N39" s="76"/>
      <c r="O39" s="77"/>
      <c r="P39" s="39"/>
      <c r="S39" s="35"/>
      <c r="T39" s="80"/>
      <c r="U39" s="75"/>
      <c r="V39" s="77"/>
      <c r="W39" s="55"/>
      <c r="X39" s="80"/>
      <c r="Y39" s="75"/>
      <c r="Z39" s="76"/>
      <c r="AA39" s="77"/>
      <c r="AB39" s="55"/>
      <c r="AC39" s="80"/>
      <c r="AD39" s="75"/>
      <c r="AE39" s="76"/>
      <c r="AF39" s="77"/>
      <c r="AG39" s="39"/>
    </row>
    <row r="40" spans="1:33" ht="19.5" customHeight="1" x14ac:dyDescent="0.25">
      <c r="B40" s="3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39"/>
      <c r="S40" s="3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39"/>
    </row>
    <row r="41" spans="1:33" ht="19.5" customHeight="1" x14ac:dyDescent="0.25">
      <c r="A41" s="28"/>
      <c r="B41" s="35"/>
      <c r="C41" s="87" t="s">
        <v>89</v>
      </c>
      <c r="D41" s="71"/>
      <c r="E41" s="94" t="str">
        <f>VLOOKUP(C32,'Formato descripción HU'!$B$6:$O$12,14,0)</f>
        <v>Generar notificación</v>
      </c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39"/>
      <c r="S41" s="35"/>
      <c r="T41" s="87" t="s">
        <v>89</v>
      </c>
      <c r="U41" s="71"/>
      <c r="V41" s="81" t="str">
        <f>VLOOKUP(T32,'Formato descripción HU'!$B$6:$O$12,14,0)</f>
        <v>Gestión de Citas</v>
      </c>
      <c r="W41" s="82"/>
      <c r="X41" s="82"/>
      <c r="Y41" s="82"/>
      <c r="Z41" s="82"/>
      <c r="AA41" s="82"/>
      <c r="AB41" s="82"/>
      <c r="AC41" s="82"/>
      <c r="AD41" s="82"/>
      <c r="AE41" s="82"/>
      <c r="AF41" s="83"/>
      <c r="AG41" s="39"/>
    </row>
    <row r="42" spans="1:33" ht="19.5" customHeight="1" x14ac:dyDescent="0.25">
      <c r="A42" s="28"/>
      <c r="B42" s="35"/>
      <c r="C42" s="75"/>
      <c r="D42" s="77"/>
      <c r="E42" s="84"/>
      <c r="F42" s="85"/>
      <c r="G42" s="85"/>
      <c r="H42" s="85"/>
      <c r="I42" s="85"/>
      <c r="J42" s="85"/>
      <c r="K42" s="85"/>
      <c r="L42" s="85"/>
      <c r="M42" s="85"/>
      <c r="N42" s="85"/>
      <c r="O42" s="86"/>
      <c r="P42" s="39"/>
      <c r="S42" s="35"/>
      <c r="T42" s="75"/>
      <c r="U42" s="77"/>
      <c r="V42" s="84"/>
      <c r="W42" s="85"/>
      <c r="X42" s="85"/>
      <c r="Y42" s="85"/>
      <c r="Z42" s="85"/>
      <c r="AA42" s="85"/>
      <c r="AB42" s="85"/>
      <c r="AC42" s="85"/>
      <c r="AD42" s="85"/>
      <c r="AE42" s="85"/>
      <c r="AF42" s="86"/>
      <c r="AG42" s="39"/>
    </row>
    <row r="43" spans="1:33" ht="19.5" customHeight="1" x14ac:dyDescent="0.25">
      <c r="A43" s="28"/>
      <c r="B43" s="35"/>
      <c r="C43" s="55"/>
      <c r="D43" s="55"/>
      <c r="E43" s="56"/>
      <c r="F43" s="56"/>
      <c r="G43" s="56"/>
      <c r="H43" s="56"/>
      <c r="I43" s="55"/>
      <c r="J43" s="55"/>
      <c r="K43" s="55"/>
      <c r="L43" s="55"/>
      <c r="M43" s="55"/>
      <c r="N43" s="55"/>
      <c r="O43" s="55"/>
      <c r="P43" s="39"/>
      <c r="S43" s="3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39"/>
    </row>
    <row r="44" spans="1:33" ht="19.5" customHeight="1" x14ac:dyDescent="0.25">
      <c r="A44" s="28"/>
      <c r="B44" s="35"/>
      <c r="C44" s="93" t="s">
        <v>90</v>
      </c>
      <c r="D44" s="71"/>
      <c r="E44" s="98" t="str">
        <f>VLOOKUP(C32,'Formato descripción HU'!$B$6:$O$12,12,0)</f>
        <v>El sistema detecta un evento de cita (creación, cancelación o reprogramación), genera el mensaje con los datos correspondientes y lo envía al canal definido del paciente. Se verifica que el destinatario recibe la notificación con: código de cita, fecha, hora, servicio y estado. Si el canal no está disponible, el sistema registra el evento como "pendiente de notificación".</v>
      </c>
      <c r="F44" s="70"/>
      <c r="G44" s="70"/>
      <c r="H44" s="71"/>
      <c r="I44" s="55"/>
      <c r="J44" s="93" t="s">
        <v>13</v>
      </c>
      <c r="K44" s="71"/>
      <c r="L44" s="92" t="str">
        <f>VLOOKUP(C32,'Formato descripción HU'!$B$6:$O$12,13,0)</f>
        <v>Las notificaciones se generan automáticamente al crear, modificar o cancelar una cita. El sistema debe dejar trazabilidad del evento que originó el aviso (destinatario, canal, fecha/hora y estado de entrega).</v>
      </c>
      <c r="M44" s="70"/>
      <c r="N44" s="70"/>
      <c r="O44" s="71"/>
      <c r="P44" s="39"/>
      <c r="S44" s="35"/>
      <c r="T44" s="93" t="s">
        <v>90</v>
      </c>
      <c r="U44" s="71"/>
      <c r="V44" s="92" t="str">
        <f>VLOOKUP(T32,'Formato descripción HU'!$B$6:$O$12,12,0)</f>
        <v>La auxiliar creará una cita ingresando cédula del paciente, servicio, fecha, hora y duración, y verificará disponibilidad de horario/consultorio, generará código de cita y mostrará confirmación. También permitirá modificar, cancelar y consultar citas siempre que no existan conflictos.</v>
      </c>
      <c r="W44" s="70"/>
      <c r="X44" s="70"/>
      <c r="Y44" s="71"/>
      <c r="Z44" s="55"/>
      <c r="AA44" s="93" t="s">
        <v>13</v>
      </c>
      <c r="AB44" s="71"/>
      <c r="AC44" s="92" t="str">
        <f>VLOOKUP(T32,'Formato descripción HU'!$B$6:$O$12,13,0)</f>
        <v>Debe registrar auditoría de creación, modificación y cancelación de citas, incluyendo usuario responsable, fecha, hora, motivo de cancelación, datos anteriores y nuevos de la cita, y código de cita generado.</v>
      </c>
      <c r="AD44" s="70"/>
      <c r="AE44" s="70"/>
      <c r="AF44" s="71"/>
      <c r="AG44" s="39"/>
    </row>
    <row r="45" spans="1:33" ht="26.25" customHeight="1" x14ac:dyDescent="0.25">
      <c r="A45" s="28"/>
      <c r="B45" s="35"/>
      <c r="C45" s="72"/>
      <c r="D45" s="74"/>
      <c r="E45" s="72"/>
      <c r="F45" s="73"/>
      <c r="G45" s="73"/>
      <c r="H45" s="74"/>
      <c r="I45" s="55"/>
      <c r="J45" s="72"/>
      <c r="K45" s="74"/>
      <c r="L45" s="72"/>
      <c r="M45" s="73"/>
      <c r="N45" s="73"/>
      <c r="O45" s="74"/>
      <c r="P45" s="39"/>
      <c r="S45" s="35"/>
      <c r="T45" s="72"/>
      <c r="U45" s="74"/>
      <c r="V45" s="72"/>
      <c r="W45" s="73"/>
      <c r="X45" s="73"/>
      <c r="Y45" s="74"/>
      <c r="Z45" s="55"/>
      <c r="AA45" s="72"/>
      <c r="AB45" s="74"/>
      <c r="AC45" s="72"/>
      <c r="AD45" s="73"/>
      <c r="AE45" s="73"/>
      <c r="AF45" s="74"/>
      <c r="AG45" s="39"/>
    </row>
    <row r="46" spans="1:33" ht="19.5" customHeight="1" x14ac:dyDescent="0.25">
      <c r="A46" s="28"/>
      <c r="B46" s="35"/>
      <c r="C46" s="75"/>
      <c r="D46" s="77"/>
      <c r="E46" s="75"/>
      <c r="F46" s="76"/>
      <c r="G46" s="76"/>
      <c r="H46" s="77"/>
      <c r="I46" s="55"/>
      <c r="J46" s="75"/>
      <c r="K46" s="77"/>
      <c r="L46" s="75"/>
      <c r="M46" s="76"/>
      <c r="N46" s="76"/>
      <c r="O46" s="77"/>
      <c r="P46" s="39"/>
      <c r="S46" s="35"/>
      <c r="T46" s="75"/>
      <c r="U46" s="77"/>
      <c r="V46" s="75"/>
      <c r="W46" s="76"/>
      <c r="X46" s="76"/>
      <c r="Y46" s="77"/>
      <c r="Z46" s="55"/>
      <c r="AA46" s="75"/>
      <c r="AB46" s="77"/>
      <c r="AC46" s="75"/>
      <c r="AD46" s="76"/>
      <c r="AE46" s="76"/>
      <c r="AF46" s="77"/>
      <c r="AG46" s="39"/>
    </row>
    <row r="47" spans="1:33" ht="19.5" customHeight="1" x14ac:dyDescent="0.25">
      <c r="A47" s="28"/>
      <c r="B47" s="50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S47" s="50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2"/>
    </row>
    <row r="48" spans="1:33" ht="19.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spans="1:33" ht="19.5" customHeight="1" x14ac:dyDescent="0.3">
      <c r="A49" s="28"/>
      <c r="B49" s="28"/>
      <c r="C49" s="57"/>
      <c r="D49" s="28"/>
      <c r="E49" s="99"/>
      <c r="F49" s="73"/>
      <c r="G49" s="28"/>
      <c r="H49" s="99"/>
      <c r="I49" s="73"/>
      <c r="J49" s="28"/>
      <c r="K49" s="28"/>
      <c r="L49" s="28"/>
      <c r="M49" s="28"/>
      <c r="N49" s="28"/>
      <c r="O49" s="28"/>
      <c r="P49" s="28"/>
    </row>
    <row r="50" spans="1:33" ht="19.5" customHeight="1" x14ac:dyDescent="0.4">
      <c r="A50" s="28"/>
      <c r="B50" s="90" t="s">
        <v>82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4"/>
      <c r="S50" s="90" t="s">
        <v>82</v>
      </c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4"/>
    </row>
    <row r="51" spans="1:33" ht="19.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ht="19.5" customHeight="1" x14ac:dyDescent="0.25">
      <c r="A52" s="28"/>
      <c r="B52" s="30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  <c r="S52" s="30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4"/>
    </row>
    <row r="53" spans="1:33" ht="15.75" customHeight="1" x14ac:dyDescent="0.3">
      <c r="A53" s="28"/>
      <c r="B53" s="35"/>
      <c r="C53" s="53" t="s">
        <v>1</v>
      </c>
      <c r="D53" s="38"/>
      <c r="E53" s="95" t="s">
        <v>83</v>
      </c>
      <c r="F53" s="64"/>
      <c r="G53" s="38"/>
      <c r="H53" s="95" t="s">
        <v>11</v>
      </c>
      <c r="I53" s="64"/>
      <c r="J53" s="38"/>
      <c r="K53" s="38"/>
      <c r="L53" s="38"/>
      <c r="M53" s="38"/>
      <c r="N53" s="38"/>
      <c r="O53" s="38"/>
      <c r="P53" s="39"/>
      <c r="S53" s="35"/>
      <c r="T53" s="53" t="s">
        <v>1</v>
      </c>
      <c r="U53" s="38"/>
      <c r="V53" s="95" t="s">
        <v>83</v>
      </c>
      <c r="W53" s="64"/>
      <c r="X53" s="38"/>
      <c r="Y53" s="95" t="s">
        <v>11</v>
      </c>
      <c r="Z53" s="64"/>
      <c r="AA53" s="38"/>
      <c r="AB53" s="38"/>
      <c r="AC53" s="38"/>
      <c r="AD53" s="38"/>
      <c r="AE53" s="38"/>
      <c r="AF53" s="38"/>
      <c r="AG53" s="39"/>
    </row>
    <row r="54" spans="1:33" ht="15.75" customHeight="1" x14ac:dyDescent="0.3">
      <c r="A54" s="28"/>
      <c r="B54" s="35"/>
      <c r="C54" s="54" t="s">
        <v>53</v>
      </c>
      <c r="D54" s="38"/>
      <c r="E54" s="96" t="str">
        <f>VLOOKUP(C54,'Formato descripción HU'!$B$6:$O$12,5,0)</f>
        <v>Auxiliar</v>
      </c>
      <c r="F54" s="64"/>
      <c r="G54" s="38"/>
      <c r="H54" s="97" t="str">
        <f>VLOOKUP(C54,'Formato descripción HU'!$B$6:$O$12,11,0)</f>
        <v>Terminado</v>
      </c>
      <c r="I54" s="64"/>
      <c r="J54" s="38"/>
      <c r="K54" s="38"/>
      <c r="L54" s="38"/>
      <c r="M54" s="38"/>
      <c r="N54" s="38"/>
      <c r="O54" s="38"/>
      <c r="P54" s="39"/>
      <c r="S54" s="35"/>
      <c r="T54" s="54" t="s">
        <v>61</v>
      </c>
      <c r="U54" s="38"/>
      <c r="V54" s="96" t="str">
        <f>VLOOKUP(T54,'Formato descripción HU'!$B$6:$O$12,5,0)</f>
        <v>Administrador</v>
      </c>
      <c r="W54" s="64"/>
      <c r="X54" s="38"/>
      <c r="Y54" s="97" t="str">
        <f>VLOOKUP(T54,'Formato descripción HU'!$B$6:$O$12,11,0)</f>
        <v>Terminado</v>
      </c>
      <c r="Z54" s="64"/>
      <c r="AA54" s="38"/>
      <c r="AB54" s="38"/>
      <c r="AC54" s="38"/>
      <c r="AD54" s="38"/>
      <c r="AE54" s="38"/>
      <c r="AF54" s="38"/>
      <c r="AG54" s="39"/>
    </row>
    <row r="55" spans="1:33" ht="15.75" customHeight="1" x14ac:dyDescent="0.25">
      <c r="A55" s="28"/>
      <c r="B55" s="3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9"/>
      <c r="S55" s="35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</row>
    <row r="56" spans="1:33" ht="15.75" customHeight="1" x14ac:dyDescent="0.3">
      <c r="A56" s="28"/>
      <c r="B56" s="35"/>
      <c r="C56" s="53" t="s">
        <v>84</v>
      </c>
      <c r="D56" s="38"/>
      <c r="E56" s="95" t="s">
        <v>10</v>
      </c>
      <c r="F56" s="64"/>
      <c r="G56" s="38"/>
      <c r="H56" s="95" t="s">
        <v>85</v>
      </c>
      <c r="I56" s="64"/>
      <c r="J56" s="38"/>
      <c r="K56" s="38"/>
      <c r="L56" s="38"/>
      <c r="M56" s="38"/>
      <c r="N56" s="38"/>
      <c r="O56" s="38"/>
      <c r="P56" s="39"/>
      <c r="S56" s="35"/>
      <c r="T56" s="53" t="s">
        <v>84</v>
      </c>
      <c r="U56" s="38"/>
      <c r="V56" s="95" t="s">
        <v>10</v>
      </c>
      <c r="W56" s="64"/>
      <c r="X56" s="38"/>
      <c r="Y56" s="95" t="s">
        <v>85</v>
      </c>
      <c r="Z56" s="64"/>
      <c r="AA56" s="38"/>
      <c r="AB56" s="38"/>
      <c r="AC56" s="38"/>
      <c r="AD56" s="38"/>
      <c r="AE56" s="38"/>
      <c r="AF56" s="38"/>
      <c r="AG56" s="39"/>
    </row>
    <row r="57" spans="1:33" ht="15.75" customHeight="1" x14ac:dyDescent="0.3">
      <c r="A57" s="28"/>
      <c r="B57" s="35"/>
      <c r="C57" s="54">
        <f>VLOOKUP('Historia de Usuario'!C54,'Formato descripción HU'!$B$6:$O$12,8,0)</f>
        <v>6</v>
      </c>
      <c r="D57" s="58"/>
      <c r="E57" s="96" t="str">
        <f>VLOOKUP(C54,'Formato descripción HU'!$B$6:$O$12,10,0)</f>
        <v>Alta</v>
      </c>
      <c r="F57" s="64"/>
      <c r="G57" s="59"/>
      <c r="H57" s="96" t="str">
        <f>VLOOKUP(C54,'Formato descripción HU'!$B$6:$O$12,7,0)</f>
        <v>Doménica Villagómez</v>
      </c>
      <c r="I57" s="64"/>
      <c r="J57" s="38"/>
      <c r="K57" s="38"/>
      <c r="L57" s="38"/>
      <c r="M57" s="38"/>
      <c r="N57" s="38"/>
      <c r="O57" s="38"/>
      <c r="P57" s="39"/>
      <c r="S57" s="35"/>
      <c r="T57" s="54">
        <f>VLOOKUP('Historia de Usuario'!T54,'Formato descripción HU'!$B$6:$O$12,8,0)</f>
        <v>4</v>
      </c>
      <c r="U57" s="38"/>
      <c r="V57" s="96" t="str">
        <f>VLOOKUP(T54,'Formato descripción HU'!$B$6:$O$12,10,0)</f>
        <v>Alta</v>
      </c>
      <c r="W57" s="64"/>
      <c r="X57" s="38"/>
      <c r="Y57" s="96" t="str">
        <f>VLOOKUP(T54,'Formato descripción HU'!$B$6:$O$12,7,0)</f>
        <v>Danny Ayuquina</v>
      </c>
      <c r="Z57" s="64"/>
      <c r="AA57" s="38"/>
      <c r="AB57" s="38"/>
      <c r="AC57" s="38"/>
      <c r="AD57" s="38"/>
      <c r="AE57" s="38"/>
      <c r="AF57" s="38"/>
      <c r="AG57" s="39"/>
    </row>
    <row r="58" spans="1:33" ht="15.75" customHeight="1" x14ac:dyDescent="0.25">
      <c r="A58" s="28"/>
      <c r="B58" s="35"/>
      <c r="C58" s="38"/>
      <c r="D58" s="38"/>
      <c r="E58" s="48"/>
      <c r="F58" s="48"/>
      <c r="G58" s="38"/>
      <c r="H58" s="38"/>
      <c r="I58" s="38"/>
      <c r="J58" s="38"/>
      <c r="K58" s="38"/>
      <c r="L58" s="38"/>
      <c r="M58" s="38"/>
      <c r="N58" s="38"/>
      <c r="O58" s="38"/>
      <c r="P58" s="39"/>
      <c r="S58" s="35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9"/>
    </row>
    <row r="59" spans="1:33" ht="32.25" customHeight="1" x14ac:dyDescent="0.25">
      <c r="A59" s="28"/>
      <c r="B59" s="35"/>
      <c r="C59" s="102" t="s">
        <v>86</v>
      </c>
      <c r="D59" s="101" t="str">
        <f>VLOOKUP(C54,'Formato descripción HU'!$B$6:$O$12,3,0)</f>
        <v>El sistema deberá facilitar el manejo de la información de los pacientes a través de su registro, modificación, consulta e inactivación, validando campos obligatorios.</v>
      </c>
      <c r="E59" s="71"/>
      <c r="F59" s="55"/>
      <c r="G59" s="102" t="s">
        <v>87</v>
      </c>
      <c r="H59" s="101" t="str">
        <f>VLOOKUP(C54,'Formato descripción HU'!$B$6:$O$12,4,0)</f>
        <v>Para mantener la información necesaria de los pacientes y asociarla a las citas del sistema</v>
      </c>
      <c r="I59" s="70"/>
      <c r="J59" s="71"/>
      <c r="K59" s="55"/>
      <c r="L59" s="102" t="s">
        <v>88</v>
      </c>
      <c r="M59" s="115" t="str">
        <f>VLOOKUP(C54,'Formato descripción HU'!$B$6:$O$12,6,0)</f>
        <v>Establecer un módulo de gestión de pacientes, donde el auxiliar pueda ejecutar las acciones: registro de nuevos pacientes, o consulta, modificación e inactivación de pacientes existentes. El sistema debe validar campos obligatorios como: que la cédula exista, que el teléfono tenga solo dígitos, que la edad sea consistente con la fecha de nacimiento. Para la modificación el sistema verifica que exista el paciente y los campos permitidos a cambiar son: domicilio, teléfono, ocupación y estado civil. Para la inactivación, el paciente no debe tener citas programadas a futuro.</v>
      </c>
      <c r="N59" s="70"/>
      <c r="O59" s="71"/>
      <c r="P59" s="39"/>
      <c r="S59" s="35"/>
      <c r="T59" s="114" t="s">
        <v>86</v>
      </c>
      <c r="U59" s="113" t="str">
        <f>VLOOKUP(T54,'Formato descripción HU'!$B$6:$O$12,3,0)</f>
        <v>El sistema deberá permitir al administrador crear, modificar, desactivar y consultar perfiles de usuario, asignando nombre y permisos de acceso a módulos del sistema, a través de una interfaz gráfica.</v>
      </c>
      <c r="V59" s="71"/>
      <c r="W59" s="38"/>
      <c r="X59" s="114" t="s">
        <v>87</v>
      </c>
      <c r="Y59" s="113" t="str">
        <f>VLOOKUP(T54,'Formato descripción HU'!$B$6:$O$12,4,0)</f>
        <v>Para controlar los accesos y permisos de los usuarios dentro del sistema según su rol.</v>
      </c>
      <c r="Z59" s="70"/>
      <c r="AA59" s="71"/>
      <c r="AB59" s="38"/>
      <c r="AC59" s="114" t="s">
        <v>88</v>
      </c>
      <c r="AD59" s="100" t="str">
        <f>VLOOKUP(T54,'Formato descripción HU'!$B$6:$O$12,6,0)</f>
        <v>Implementando un módulo de gestión de perfiles donde el administrador pueda crear perfiles con nombre y permisos (gestionar citas, pacientes, horarios, planificación, perfiles), modificar permisos de perfiles existentes, desactivarlos y consultarlos. El sistema validará unicidad del nombre del perfil y restricciones sobre el perfil Administrador.</v>
      </c>
      <c r="AE59" s="70"/>
      <c r="AF59" s="71"/>
      <c r="AG59" s="39"/>
    </row>
    <row r="60" spans="1:33" ht="33" customHeight="1" x14ac:dyDescent="0.25">
      <c r="A60" s="28"/>
      <c r="B60" s="35"/>
      <c r="C60" s="79"/>
      <c r="D60" s="72"/>
      <c r="E60" s="74"/>
      <c r="F60" s="55"/>
      <c r="G60" s="79"/>
      <c r="H60" s="72"/>
      <c r="I60" s="73"/>
      <c r="J60" s="74"/>
      <c r="K60" s="55"/>
      <c r="L60" s="79"/>
      <c r="M60" s="72"/>
      <c r="N60" s="73"/>
      <c r="O60" s="74"/>
      <c r="P60" s="39"/>
      <c r="S60" s="35"/>
      <c r="T60" s="79"/>
      <c r="U60" s="72"/>
      <c r="V60" s="74"/>
      <c r="W60" s="38"/>
      <c r="X60" s="79"/>
      <c r="Y60" s="72"/>
      <c r="Z60" s="73"/>
      <c r="AA60" s="74"/>
      <c r="AB60" s="38"/>
      <c r="AC60" s="79"/>
      <c r="AD60" s="72"/>
      <c r="AE60" s="73"/>
      <c r="AF60" s="74"/>
      <c r="AG60" s="39"/>
    </row>
    <row r="61" spans="1:33" ht="15.75" customHeight="1" x14ac:dyDescent="0.25">
      <c r="A61" s="28"/>
      <c r="B61" s="35"/>
      <c r="C61" s="80"/>
      <c r="D61" s="75"/>
      <c r="E61" s="77"/>
      <c r="F61" s="55"/>
      <c r="G61" s="80"/>
      <c r="H61" s="75"/>
      <c r="I61" s="76"/>
      <c r="J61" s="77"/>
      <c r="K61" s="55"/>
      <c r="L61" s="80"/>
      <c r="M61" s="75"/>
      <c r="N61" s="76"/>
      <c r="O61" s="77"/>
      <c r="P61" s="39"/>
      <c r="S61" s="35"/>
      <c r="T61" s="80"/>
      <c r="U61" s="75"/>
      <c r="V61" s="77"/>
      <c r="W61" s="38"/>
      <c r="X61" s="80"/>
      <c r="Y61" s="75"/>
      <c r="Z61" s="76"/>
      <c r="AA61" s="77"/>
      <c r="AB61" s="38"/>
      <c r="AC61" s="80"/>
      <c r="AD61" s="75"/>
      <c r="AE61" s="76"/>
      <c r="AF61" s="77"/>
      <c r="AG61" s="39"/>
    </row>
    <row r="62" spans="1:33" ht="15.75" customHeight="1" x14ac:dyDescent="0.25">
      <c r="A62" s="28"/>
      <c r="B62" s="35"/>
      <c r="C62" s="38"/>
      <c r="D62" s="38"/>
      <c r="E62" s="60"/>
      <c r="F62" s="60"/>
      <c r="G62" s="60"/>
      <c r="H62" s="60"/>
      <c r="I62" s="38"/>
      <c r="J62" s="38"/>
      <c r="K62" s="38"/>
      <c r="L62" s="38"/>
      <c r="M62" s="38"/>
      <c r="N62" s="38"/>
      <c r="O62" s="38"/>
      <c r="P62" s="39"/>
      <c r="S62" s="35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9"/>
    </row>
    <row r="63" spans="1:33" ht="15.75" customHeight="1" x14ac:dyDescent="0.25">
      <c r="A63" s="28"/>
      <c r="B63" s="35"/>
      <c r="C63" s="116" t="s">
        <v>89</v>
      </c>
      <c r="D63" s="71"/>
      <c r="E63" s="119" t="str">
        <f>VLOOKUP(C54,'Formato descripción HU'!$B$6:$O$12,14,0)</f>
        <v>Gestión de Pacientes</v>
      </c>
      <c r="F63" s="82"/>
      <c r="G63" s="82"/>
      <c r="H63" s="82"/>
      <c r="I63" s="82"/>
      <c r="J63" s="82"/>
      <c r="K63" s="82"/>
      <c r="L63" s="82"/>
      <c r="M63" s="82"/>
      <c r="N63" s="82"/>
      <c r="O63" s="83"/>
      <c r="P63" s="39"/>
      <c r="S63" s="35"/>
      <c r="T63" s="116" t="s">
        <v>89</v>
      </c>
      <c r="U63" s="71"/>
      <c r="V63" s="104" t="str">
        <f>VLOOKUP(T54,'Formato descripción HU'!$B$6:$O$12,14,0)</f>
        <v>Gestionar Perfiles</v>
      </c>
      <c r="W63" s="82"/>
      <c r="X63" s="82"/>
      <c r="Y63" s="82"/>
      <c r="Z63" s="82"/>
      <c r="AA63" s="82"/>
      <c r="AB63" s="82"/>
      <c r="AC63" s="82"/>
      <c r="AD63" s="82"/>
      <c r="AE63" s="82"/>
      <c r="AF63" s="83"/>
      <c r="AG63" s="39"/>
    </row>
    <row r="64" spans="1:33" ht="15.75" customHeight="1" x14ac:dyDescent="0.25">
      <c r="A64" s="28"/>
      <c r="B64" s="35"/>
      <c r="C64" s="75"/>
      <c r="D64" s="77"/>
      <c r="E64" s="84"/>
      <c r="F64" s="85"/>
      <c r="G64" s="85"/>
      <c r="H64" s="85"/>
      <c r="I64" s="85"/>
      <c r="J64" s="85"/>
      <c r="K64" s="85"/>
      <c r="L64" s="85"/>
      <c r="M64" s="85"/>
      <c r="N64" s="85"/>
      <c r="O64" s="86"/>
      <c r="P64" s="39"/>
      <c r="S64" s="35"/>
      <c r="T64" s="75"/>
      <c r="U64" s="77"/>
      <c r="V64" s="84"/>
      <c r="W64" s="85"/>
      <c r="X64" s="85"/>
      <c r="Y64" s="85"/>
      <c r="Z64" s="85"/>
      <c r="AA64" s="85"/>
      <c r="AB64" s="85"/>
      <c r="AC64" s="85"/>
      <c r="AD64" s="85"/>
      <c r="AE64" s="85"/>
      <c r="AF64" s="86"/>
      <c r="AG64" s="39"/>
    </row>
    <row r="65" spans="1:33" ht="15.75" customHeight="1" x14ac:dyDescent="0.25">
      <c r="A65" s="28"/>
      <c r="B65" s="35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S65" s="35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9"/>
    </row>
    <row r="66" spans="1:33" ht="15.75" customHeight="1" x14ac:dyDescent="0.25">
      <c r="B66" s="35"/>
      <c r="C66" s="117" t="s">
        <v>90</v>
      </c>
      <c r="D66" s="71"/>
      <c r="E66" s="118" t="str">
        <f>VLOOKUP(C54,'Formato descripción HU'!$B$6:$O$12,12,0)</f>
        <v>La auxiliar ingresa al módulo de gestión de pacientes y crea un paciente ingresando los datos requeridos de forma correcta, el sistema validará y si todo está bien, registra el paciente con estado activo. Conultará el paciente registrado usando el filtro por nombre o cédula. Modificará el paciente y el sistema solo permitirá cambiar los campos: domicilio, tel;efono, ocupación y estado civil. Inactivará el paciente, y el sistema validará que este no tenga agendada ninguna cita futura para permitir la acción. Caso contrario, se mostrará un mensaje informativo "Datos erróneos (especifica error)"</v>
      </c>
      <c r="F66" s="70"/>
      <c r="G66" s="70"/>
      <c r="H66" s="71"/>
      <c r="I66" s="38"/>
      <c r="J66" s="117" t="s">
        <v>13</v>
      </c>
      <c r="K66" s="71"/>
      <c r="L66" s="120" t="str">
        <f>VLOOKUP(C54,'Formato descripción HU'!$B$6:$O$12,13,0)</f>
        <v>Debe considerar los datos que se manejan según la acción a realizar</v>
      </c>
      <c r="M66" s="70"/>
      <c r="N66" s="70"/>
      <c r="O66" s="71"/>
      <c r="P66" s="39"/>
      <c r="S66" s="35"/>
      <c r="T66" s="117" t="s">
        <v>90</v>
      </c>
      <c r="U66" s="71"/>
      <c r="V66" s="118" t="str">
        <f>VLOOKUP(T54,'Formato descripción HU'!$B$6:$O$12,12,0)</f>
        <v>El administrador crea un perfil con nombre y al menos un permiso; el sistema valida unicidad y registra con estado activo. Modifica permisos de un perfil existente. Desactiva un perfil verificando que no tenga usuarios asignados; si los tiene, muestra mensaje solicitando reasignación previa. Consulta perfiles por nombre o estado. El sistema impide desactivar el perfil Administrador si es el único activo.</v>
      </c>
      <c r="W66" s="70"/>
      <c r="X66" s="70"/>
      <c r="Y66" s="71"/>
      <c r="Z66" s="38"/>
      <c r="AA66" s="117" t="s">
        <v>13</v>
      </c>
      <c r="AB66" s="71"/>
      <c r="AC66" s="120" t="str">
        <f>VLOOKUP(T54,'Formato descripción HU'!$B$6:$O$12,13,0)</f>
        <v>El sistema debe registrar en auditoría el perfil modificado, los permisos cambiados y el usuario administrador responsable. No se puede retirar el permiso 'gestionar perfiles' del perfil Administrador.</v>
      </c>
      <c r="AD66" s="70"/>
      <c r="AE66" s="70"/>
      <c r="AF66" s="71"/>
      <c r="AG66" s="39"/>
    </row>
    <row r="67" spans="1:33" ht="9.75" customHeight="1" x14ac:dyDescent="0.25">
      <c r="A67" s="28"/>
      <c r="B67" s="35"/>
      <c r="C67" s="72"/>
      <c r="D67" s="74"/>
      <c r="E67" s="72"/>
      <c r="F67" s="73"/>
      <c r="G67" s="73"/>
      <c r="H67" s="74"/>
      <c r="I67" s="38"/>
      <c r="J67" s="72"/>
      <c r="K67" s="74"/>
      <c r="L67" s="72"/>
      <c r="M67" s="73"/>
      <c r="N67" s="73"/>
      <c r="O67" s="74"/>
      <c r="P67" s="39"/>
      <c r="S67" s="35"/>
      <c r="T67" s="72"/>
      <c r="U67" s="74"/>
      <c r="V67" s="72"/>
      <c r="W67" s="73"/>
      <c r="X67" s="73"/>
      <c r="Y67" s="74"/>
      <c r="Z67" s="38"/>
      <c r="AA67" s="72"/>
      <c r="AB67" s="74"/>
      <c r="AC67" s="72"/>
      <c r="AD67" s="73"/>
      <c r="AE67" s="73"/>
      <c r="AF67" s="74"/>
      <c r="AG67" s="39"/>
    </row>
    <row r="68" spans="1:33" ht="27" customHeight="1" x14ac:dyDescent="0.25">
      <c r="A68" s="28"/>
      <c r="B68" s="35"/>
      <c r="C68" s="75"/>
      <c r="D68" s="77"/>
      <c r="E68" s="75"/>
      <c r="F68" s="76"/>
      <c r="G68" s="76"/>
      <c r="H68" s="77"/>
      <c r="I68" s="38"/>
      <c r="J68" s="75"/>
      <c r="K68" s="77"/>
      <c r="L68" s="75"/>
      <c r="M68" s="76"/>
      <c r="N68" s="76"/>
      <c r="O68" s="77"/>
      <c r="P68" s="39"/>
      <c r="S68" s="35"/>
      <c r="T68" s="75"/>
      <c r="U68" s="77"/>
      <c r="V68" s="75"/>
      <c r="W68" s="76"/>
      <c r="X68" s="76"/>
      <c r="Y68" s="77"/>
      <c r="Z68" s="38"/>
      <c r="AA68" s="75"/>
      <c r="AB68" s="77"/>
      <c r="AC68" s="75"/>
      <c r="AD68" s="76"/>
      <c r="AE68" s="76"/>
      <c r="AF68" s="77"/>
      <c r="AG68" s="39"/>
    </row>
    <row r="69" spans="1:33" ht="15.75" customHeight="1" x14ac:dyDescent="0.25">
      <c r="A69" s="28"/>
      <c r="B69" s="50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2"/>
      <c r="S69" s="50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2"/>
    </row>
    <row r="70" spans="1:33" ht="15.7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spans="1:33" ht="15.75" customHeight="1" x14ac:dyDescent="0.3">
      <c r="A71" s="28"/>
      <c r="B71" s="28"/>
      <c r="C71" s="57"/>
      <c r="D71" s="28"/>
      <c r="E71" s="99"/>
      <c r="F71" s="73"/>
      <c r="G71" s="28"/>
      <c r="H71" s="99"/>
      <c r="I71" s="73"/>
      <c r="J71" s="28"/>
      <c r="K71" s="28"/>
      <c r="L71" s="28"/>
      <c r="M71" s="28"/>
      <c r="N71" s="28"/>
      <c r="O71" s="28"/>
      <c r="P71" s="28"/>
    </row>
    <row r="72" spans="1:33" ht="15.75" customHeight="1" x14ac:dyDescent="0.4">
      <c r="A72" s="28"/>
      <c r="B72" s="90" t="s">
        <v>82</v>
      </c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4"/>
    </row>
    <row r="73" spans="1:33" ht="15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</row>
    <row r="74" spans="1:33" ht="15.75" customHeight="1" x14ac:dyDescent="0.25">
      <c r="A74" s="28"/>
      <c r="B74" s="30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4"/>
    </row>
    <row r="75" spans="1:33" ht="15.75" customHeight="1" x14ac:dyDescent="0.3">
      <c r="A75" s="28"/>
      <c r="B75" s="35"/>
      <c r="C75" s="53" t="s">
        <v>1</v>
      </c>
      <c r="D75" s="38"/>
      <c r="E75" s="95" t="s">
        <v>83</v>
      </c>
      <c r="F75" s="64"/>
      <c r="G75" s="38"/>
      <c r="H75" s="95" t="s">
        <v>11</v>
      </c>
      <c r="I75" s="64"/>
      <c r="J75" s="38"/>
      <c r="K75" s="38"/>
      <c r="L75" s="38"/>
      <c r="M75" s="38"/>
      <c r="N75" s="38"/>
      <c r="O75" s="38"/>
      <c r="P75" s="39"/>
    </row>
    <row r="76" spans="1:33" ht="27.75" customHeight="1" x14ac:dyDescent="0.3">
      <c r="A76" s="28"/>
      <c r="B76" s="35"/>
      <c r="C76" s="54" t="s">
        <v>69</v>
      </c>
      <c r="D76" s="38"/>
      <c r="E76" s="105" t="str">
        <f>VLOOKUP(C76,'Formato descripción HU'!$B$6:$O$12,5,0)</f>
        <v>Administrador, Fisioterapeuta</v>
      </c>
      <c r="F76" s="64"/>
      <c r="G76" s="38"/>
      <c r="H76" s="97" t="str">
        <f>VLOOKUP(C76,'Formato descripción HU'!$B$6:$O$12,11,0)</f>
        <v>Terminado</v>
      </c>
      <c r="I76" s="64"/>
      <c r="J76" s="38"/>
      <c r="K76" s="38"/>
      <c r="L76" s="38"/>
      <c r="M76" s="38"/>
      <c r="N76" s="38"/>
      <c r="O76" s="38"/>
      <c r="P76" s="39"/>
    </row>
    <row r="77" spans="1:33" ht="15.75" customHeight="1" x14ac:dyDescent="0.25">
      <c r="A77" s="28"/>
      <c r="B77" s="35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9"/>
    </row>
    <row r="78" spans="1:33" ht="15.75" customHeight="1" x14ac:dyDescent="0.3">
      <c r="A78" s="28"/>
      <c r="B78" s="35"/>
      <c r="C78" s="53" t="s">
        <v>84</v>
      </c>
      <c r="D78" s="38"/>
      <c r="E78" s="95" t="s">
        <v>10</v>
      </c>
      <c r="F78" s="64"/>
      <c r="G78" s="38"/>
      <c r="H78" s="95" t="s">
        <v>85</v>
      </c>
      <c r="I78" s="64"/>
      <c r="J78" s="38"/>
      <c r="K78" s="38"/>
      <c r="L78" s="38"/>
      <c r="M78" s="38"/>
      <c r="N78" s="38"/>
      <c r="O78" s="38"/>
      <c r="P78" s="39"/>
    </row>
    <row r="79" spans="1:33" ht="15.75" customHeight="1" x14ac:dyDescent="0.3">
      <c r="A79" s="28"/>
      <c r="B79" s="35"/>
      <c r="C79" s="54">
        <f>VLOOKUP('Historia de Usuario'!C76,'Formato descripción HU'!$B$6:$O$12,8,0)</f>
        <v>6</v>
      </c>
      <c r="D79" s="38"/>
      <c r="E79" s="96" t="str">
        <f>VLOOKUP(C76,'Formato descripción HU'!$B$6:$O$12,10,0)</f>
        <v>Alta</v>
      </c>
      <c r="F79" s="64"/>
      <c r="G79" s="38"/>
      <c r="H79" s="96" t="str">
        <f>VLOOKUP(C76,'Formato descripción HU'!$B$6:$O$12,7,0)</f>
        <v>Saray Cañarte</v>
      </c>
      <c r="I79" s="64"/>
      <c r="J79" s="38"/>
      <c r="K79" s="38"/>
      <c r="L79" s="38"/>
      <c r="M79" s="38"/>
      <c r="N79" s="38"/>
      <c r="O79" s="38"/>
      <c r="P79" s="39"/>
    </row>
    <row r="80" spans="1:33" ht="15.75" customHeight="1" x14ac:dyDescent="0.25">
      <c r="A80" s="28"/>
      <c r="B80" s="35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9"/>
    </row>
    <row r="81" spans="1:16" ht="28.5" customHeight="1" x14ac:dyDescent="0.25">
      <c r="A81" s="28"/>
      <c r="B81" s="35"/>
      <c r="C81" s="102" t="s">
        <v>86</v>
      </c>
      <c r="D81" s="101" t="str">
        <f>VLOOKUP(C76,'Formato descripción HU'!$B$6:$O$12,3,0)</f>
        <v>El sistema deberá permitir administrar la planificación de horarios, fisioterapeutas y consultorios mediante una interfaz gráfica, validando disponibilidad, asignaciones y restricciones de uso.</v>
      </c>
      <c r="E81" s="71"/>
      <c r="F81" s="38"/>
      <c r="G81" s="102" t="s">
        <v>87</v>
      </c>
      <c r="H81" s="101" t="str">
        <f>VLOOKUP(C76,'Formato descripción HU'!$B$6:$O$12,4,0)</f>
        <v>Para organizar la disponibilidad de atención, optimizar la asignación de recursos y garantizar una correcta gestión de horarios y consultorios.</v>
      </c>
      <c r="I81" s="70"/>
      <c r="J81" s="71"/>
      <c r="K81" s="55"/>
      <c r="L81" s="102" t="s">
        <v>88</v>
      </c>
      <c r="M81" s="101" t="str">
        <f>VLOOKUP(C76,'Formato descripción HU'!$B$6:$O$12,6,0)</f>
        <v>Implementando un módulo de planificación donde el administrador podrá asignar fisioterapeutas a horarios, registrar consultorios, asignar consultorios a la planificación y gestionar su disponibilidad. El sistema validará la existencia de fisioterapeutas y consultorios y conflictos de horarios.</v>
      </c>
      <c r="N81" s="70"/>
      <c r="O81" s="71"/>
      <c r="P81" s="39"/>
    </row>
    <row r="82" spans="1:16" ht="54.75" customHeight="1" x14ac:dyDescent="0.25">
      <c r="A82" s="28"/>
      <c r="B82" s="35"/>
      <c r="C82" s="79"/>
      <c r="D82" s="72"/>
      <c r="E82" s="74"/>
      <c r="F82" s="60"/>
      <c r="G82" s="79"/>
      <c r="H82" s="72"/>
      <c r="I82" s="73"/>
      <c r="J82" s="74"/>
      <c r="K82" s="55"/>
      <c r="L82" s="79"/>
      <c r="M82" s="72"/>
      <c r="N82" s="73"/>
      <c r="O82" s="74"/>
      <c r="P82" s="39"/>
    </row>
    <row r="83" spans="1:16" ht="29.25" customHeight="1" x14ac:dyDescent="0.25">
      <c r="A83" s="28"/>
      <c r="B83" s="35"/>
      <c r="C83" s="80"/>
      <c r="D83" s="75"/>
      <c r="E83" s="77"/>
      <c r="F83" s="60"/>
      <c r="G83" s="80"/>
      <c r="H83" s="75"/>
      <c r="I83" s="76"/>
      <c r="J83" s="77"/>
      <c r="K83" s="55"/>
      <c r="L83" s="80"/>
      <c r="M83" s="75"/>
      <c r="N83" s="76"/>
      <c r="O83" s="77"/>
      <c r="P83" s="39"/>
    </row>
    <row r="84" spans="1:16" ht="15.75" customHeight="1" x14ac:dyDescent="0.25">
      <c r="A84" s="28"/>
      <c r="B84" s="35"/>
      <c r="C84" s="38"/>
      <c r="D84" s="38"/>
      <c r="E84" s="60"/>
      <c r="F84" s="60"/>
      <c r="G84" s="60"/>
      <c r="H84" s="60"/>
      <c r="I84" s="38"/>
      <c r="J84" s="38"/>
      <c r="K84" s="38"/>
      <c r="L84" s="38"/>
      <c r="M84" s="38"/>
      <c r="N84" s="38"/>
      <c r="O84" s="38"/>
      <c r="P84" s="39"/>
    </row>
    <row r="85" spans="1:16" ht="15.75" customHeight="1" x14ac:dyDescent="0.25">
      <c r="B85" s="35"/>
      <c r="C85" s="116" t="s">
        <v>89</v>
      </c>
      <c r="D85" s="71"/>
      <c r="E85" s="104" t="str">
        <f>VLOOKUP(C76,'Formato descripción HU'!$B$6:$O$12,14,0)</f>
        <v>Gestionar Planificación</v>
      </c>
      <c r="F85" s="82"/>
      <c r="G85" s="82"/>
      <c r="H85" s="82"/>
      <c r="I85" s="82"/>
      <c r="J85" s="82"/>
      <c r="K85" s="82"/>
      <c r="L85" s="82"/>
      <c r="M85" s="82"/>
      <c r="N85" s="82"/>
      <c r="O85" s="83"/>
      <c r="P85" s="39"/>
    </row>
    <row r="86" spans="1:16" ht="15.75" customHeight="1" x14ac:dyDescent="0.25">
      <c r="A86" s="28"/>
      <c r="B86" s="35"/>
      <c r="C86" s="75"/>
      <c r="D86" s="77"/>
      <c r="E86" s="84"/>
      <c r="F86" s="85"/>
      <c r="G86" s="85"/>
      <c r="H86" s="85"/>
      <c r="I86" s="85"/>
      <c r="J86" s="85"/>
      <c r="K86" s="85"/>
      <c r="L86" s="85"/>
      <c r="M86" s="85"/>
      <c r="N86" s="85"/>
      <c r="O86" s="86"/>
      <c r="P86" s="39"/>
    </row>
    <row r="87" spans="1:16" ht="13.8" x14ac:dyDescent="0.25">
      <c r="A87" s="28"/>
      <c r="B87" s="35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9"/>
    </row>
    <row r="88" spans="1:16" ht="24.75" customHeight="1" x14ac:dyDescent="0.25">
      <c r="A88" s="28"/>
      <c r="B88" s="35"/>
      <c r="C88" s="93" t="s">
        <v>90</v>
      </c>
      <c r="D88" s="71"/>
      <c r="E88" s="92" t="str">
        <f>VLOOKUP(C76,'Formato descripción HU'!$B$6:$O$12,12,0)</f>
        <v>El administrador podrá asignar fisioterapeutas a horarios disponibles, registrar nuevos consultorios, asignarlos a la planificación y gestionar disponibilidad. El sistema verificará que los fisioterapeutas y consultorios existan, conflictos de horarios, asignaciones duplicadas y que se respeten las restricciones establecidas. También se verificará que los consultorios con planificaciones no puedan eliminarse o inactivarse.</v>
      </c>
      <c r="F88" s="70"/>
      <c r="G88" s="70"/>
      <c r="H88" s="71"/>
      <c r="I88" s="38"/>
      <c r="J88" s="93" t="s">
        <v>13</v>
      </c>
      <c r="K88" s="71"/>
      <c r="L88" s="92" t="str">
        <f>VLOOKUP(C76,'Formato descripción HU'!$B$6:$O$12,13,0)</f>
        <v>Debe registrar auditoría de creación, asignación, modificación e inactivación de consultorios y planificaciones, incluyendo usuario responsable, fecha, hora, datos anteriores y nuevos.</v>
      </c>
      <c r="M88" s="70"/>
      <c r="N88" s="70"/>
      <c r="O88" s="71"/>
      <c r="P88" s="39"/>
    </row>
    <row r="89" spans="1:16" ht="35.25" customHeight="1" x14ac:dyDescent="0.25">
      <c r="A89" s="28"/>
      <c r="B89" s="35"/>
      <c r="C89" s="72"/>
      <c r="D89" s="74"/>
      <c r="E89" s="72"/>
      <c r="F89" s="73"/>
      <c r="G89" s="73"/>
      <c r="H89" s="74"/>
      <c r="I89" s="38"/>
      <c r="J89" s="72"/>
      <c r="K89" s="74"/>
      <c r="L89" s="72"/>
      <c r="M89" s="73"/>
      <c r="N89" s="73"/>
      <c r="O89" s="74"/>
      <c r="P89" s="39"/>
    </row>
    <row r="90" spans="1:16" ht="39" customHeight="1" x14ac:dyDescent="0.25">
      <c r="A90" s="28"/>
      <c r="B90" s="35"/>
      <c r="C90" s="75"/>
      <c r="D90" s="77"/>
      <c r="E90" s="75"/>
      <c r="F90" s="76"/>
      <c r="G90" s="76"/>
      <c r="H90" s="77"/>
      <c r="I90" s="38"/>
      <c r="J90" s="75"/>
      <c r="K90" s="77"/>
      <c r="L90" s="75"/>
      <c r="M90" s="76"/>
      <c r="N90" s="76"/>
      <c r="O90" s="77"/>
      <c r="P90" s="39"/>
    </row>
    <row r="91" spans="1:16" ht="15.75" customHeight="1" x14ac:dyDescent="0.25">
      <c r="A91" s="28"/>
      <c r="B91" s="50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2"/>
    </row>
    <row r="92" spans="1:16" ht="15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</row>
    <row r="93" spans="1:16" ht="15.75" customHeight="1" x14ac:dyDescent="0.25">
      <c r="A93" s="28"/>
      <c r="B93" s="28"/>
      <c r="C93" s="99"/>
      <c r="D93" s="110"/>
      <c r="E93" s="73"/>
      <c r="F93" s="28"/>
      <c r="G93" s="99"/>
      <c r="H93" s="110"/>
      <c r="I93" s="73"/>
      <c r="J93" s="73"/>
      <c r="K93" s="28"/>
      <c r="L93" s="99"/>
      <c r="M93" s="111"/>
      <c r="N93" s="73"/>
      <c r="O93" s="73"/>
      <c r="P93" s="28"/>
    </row>
    <row r="94" spans="1:16" ht="15.75" customHeight="1" x14ac:dyDescent="0.25">
      <c r="A94" s="28"/>
      <c r="B94" s="28"/>
      <c r="C94" s="73"/>
      <c r="D94" s="73"/>
      <c r="E94" s="73"/>
      <c r="F94" s="28"/>
      <c r="G94" s="73"/>
      <c r="H94" s="73"/>
      <c r="I94" s="73"/>
      <c r="J94" s="73"/>
      <c r="K94" s="28"/>
      <c r="L94" s="73"/>
      <c r="M94" s="73"/>
      <c r="N94" s="73"/>
      <c r="O94" s="73"/>
      <c r="P94" s="28"/>
    </row>
    <row r="95" spans="1:16" ht="15.75" customHeight="1" x14ac:dyDescent="0.25">
      <c r="A95" s="28"/>
      <c r="B95" s="28"/>
      <c r="C95" s="73"/>
      <c r="D95" s="73"/>
      <c r="E95" s="73"/>
      <c r="F95" s="28"/>
      <c r="G95" s="73"/>
      <c r="H95" s="73"/>
      <c r="I95" s="73"/>
      <c r="J95" s="73"/>
      <c r="K95" s="28"/>
      <c r="L95" s="73"/>
      <c r="M95" s="73"/>
      <c r="N95" s="73"/>
      <c r="O95" s="73"/>
      <c r="P95" s="28"/>
    </row>
    <row r="96" spans="1:16" ht="15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</row>
    <row r="97" spans="1:16" ht="15.75" customHeight="1" x14ac:dyDescent="0.25">
      <c r="A97" s="28"/>
      <c r="B97" s="28"/>
      <c r="C97" s="106"/>
      <c r="D97" s="73"/>
      <c r="E97" s="112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8"/>
    </row>
    <row r="98" spans="1:16" ht="15.75" customHeight="1" x14ac:dyDescent="0.25">
      <c r="A98" s="28"/>
      <c r="B98" s="28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8"/>
    </row>
    <row r="99" spans="1:16" ht="15.75" customHeight="1" x14ac:dyDescent="0.25">
      <c r="A99" s="28"/>
      <c r="B99" s="28"/>
      <c r="C99" s="28"/>
      <c r="D99" s="28"/>
      <c r="E99" s="61"/>
      <c r="F99" s="61"/>
      <c r="G99" s="61"/>
      <c r="H99" s="61"/>
      <c r="I99" s="28"/>
      <c r="J99" s="28"/>
      <c r="K99" s="28"/>
      <c r="L99" s="28"/>
      <c r="M99" s="28"/>
      <c r="N99" s="28"/>
      <c r="O99" s="28"/>
      <c r="P99" s="28"/>
    </row>
    <row r="100" spans="1:16" ht="15.75" customHeight="1" x14ac:dyDescent="0.25">
      <c r="A100" s="28"/>
      <c r="B100" s="28"/>
      <c r="C100" s="99"/>
      <c r="D100" s="73"/>
      <c r="E100" s="107"/>
      <c r="F100" s="73"/>
      <c r="G100" s="73"/>
      <c r="H100" s="73"/>
      <c r="I100" s="28"/>
      <c r="J100" s="99"/>
      <c r="K100" s="73"/>
      <c r="L100" s="108"/>
      <c r="M100" s="73"/>
      <c r="N100" s="73"/>
      <c r="O100" s="73"/>
      <c r="P100" s="28"/>
    </row>
    <row r="101" spans="1:16" ht="15.75" customHeight="1" x14ac:dyDescent="0.25">
      <c r="A101" s="28"/>
      <c r="B101" s="28"/>
      <c r="C101" s="73"/>
      <c r="D101" s="73"/>
      <c r="E101" s="73"/>
      <c r="F101" s="73"/>
      <c r="G101" s="73"/>
      <c r="H101" s="73"/>
      <c r="I101" s="28"/>
      <c r="J101" s="73"/>
      <c r="K101" s="73"/>
      <c r="L101" s="73"/>
      <c r="M101" s="73"/>
      <c r="N101" s="73"/>
      <c r="O101" s="73"/>
      <c r="P101" s="28"/>
    </row>
    <row r="102" spans="1:16" ht="15.75" customHeight="1" x14ac:dyDescent="0.25">
      <c r="A102" s="28"/>
      <c r="B102" s="28"/>
      <c r="C102" s="73"/>
      <c r="D102" s="73"/>
      <c r="E102" s="73"/>
      <c r="F102" s="73"/>
      <c r="G102" s="73"/>
      <c r="H102" s="73"/>
      <c r="I102" s="28"/>
      <c r="J102" s="73"/>
      <c r="K102" s="73"/>
      <c r="L102" s="73"/>
      <c r="M102" s="73"/>
      <c r="N102" s="73"/>
      <c r="O102" s="73"/>
      <c r="P102" s="28"/>
    </row>
    <row r="103" spans="1:16" ht="15.75" customHeight="1" x14ac:dyDescent="0.25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</row>
    <row r="104" spans="1:16" ht="15.75" customHeight="1" x14ac:dyDescent="0.25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</row>
    <row r="105" spans="1:16" ht="15.75" customHeight="1" x14ac:dyDescent="0.4">
      <c r="B105" s="109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165">
    <mergeCell ref="C88:D90"/>
    <mergeCell ref="E88:H90"/>
    <mergeCell ref="J88:K90"/>
    <mergeCell ref="L88:O90"/>
    <mergeCell ref="T66:U68"/>
    <mergeCell ref="V66:Y68"/>
    <mergeCell ref="AA66:AB68"/>
    <mergeCell ref="C63:D64"/>
    <mergeCell ref="E63:O64"/>
    <mergeCell ref="V63:AF64"/>
    <mergeCell ref="C66:D68"/>
    <mergeCell ref="J66:K68"/>
    <mergeCell ref="L66:O68"/>
    <mergeCell ref="AC66:AF68"/>
    <mergeCell ref="E66:H68"/>
    <mergeCell ref="AC59:AC61"/>
    <mergeCell ref="D59:E61"/>
    <mergeCell ref="G59:G61"/>
    <mergeCell ref="L59:L61"/>
    <mergeCell ref="M59:O61"/>
    <mergeCell ref="T59:T61"/>
    <mergeCell ref="U59:V61"/>
    <mergeCell ref="X59:X61"/>
    <mergeCell ref="T63:U64"/>
    <mergeCell ref="C97:D98"/>
    <mergeCell ref="C100:D102"/>
    <mergeCell ref="E100:H102"/>
    <mergeCell ref="J100:K102"/>
    <mergeCell ref="L100:O102"/>
    <mergeCell ref="B105:P105"/>
    <mergeCell ref="C93:C95"/>
    <mergeCell ref="D93:E95"/>
    <mergeCell ref="G93:G95"/>
    <mergeCell ref="H93:J95"/>
    <mergeCell ref="L93:L95"/>
    <mergeCell ref="M93:O95"/>
    <mergeCell ref="E97:O98"/>
    <mergeCell ref="C59:C61"/>
    <mergeCell ref="H59:J61"/>
    <mergeCell ref="G81:G83"/>
    <mergeCell ref="H81:J83"/>
    <mergeCell ref="L81:L83"/>
    <mergeCell ref="M81:O83"/>
    <mergeCell ref="E85:O86"/>
    <mergeCell ref="E76:F76"/>
    <mergeCell ref="E78:F78"/>
    <mergeCell ref="H78:I78"/>
    <mergeCell ref="E79:F79"/>
    <mergeCell ref="H79:I79"/>
    <mergeCell ref="C81:C83"/>
    <mergeCell ref="D81:E83"/>
    <mergeCell ref="E71:F71"/>
    <mergeCell ref="H71:I71"/>
    <mergeCell ref="B72:P72"/>
    <mergeCell ref="E75:F75"/>
    <mergeCell ref="H75:I75"/>
    <mergeCell ref="H76:I76"/>
    <mergeCell ref="C85:D86"/>
    <mergeCell ref="C37:C39"/>
    <mergeCell ref="D37:E39"/>
    <mergeCell ref="G37:G39"/>
    <mergeCell ref="H37:J39"/>
    <mergeCell ref="L37:L39"/>
    <mergeCell ref="M37:O39"/>
    <mergeCell ref="T37:T39"/>
    <mergeCell ref="T41:U42"/>
    <mergeCell ref="T44:U46"/>
    <mergeCell ref="Y56:Z56"/>
    <mergeCell ref="Y57:Z57"/>
    <mergeCell ref="AD59:AF61"/>
    <mergeCell ref="E32:F32"/>
    <mergeCell ref="E34:F34"/>
    <mergeCell ref="H34:I34"/>
    <mergeCell ref="V34:W34"/>
    <mergeCell ref="E35:F35"/>
    <mergeCell ref="H35:I35"/>
    <mergeCell ref="V35:W35"/>
    <mergeCell ref="U37:V39"/>
    <mergeCell ref="X37:X39"/>
    <mergeCell ref="Y37:AA39"/>
    <mergeCell ref="AC37:AC39"/>
    <mergeCell ref="AD37:AF39"/>
    <mergeCell ref="V56:W56"/>
    <mergeCell ref="V57:W57"/>
    <mergeCell ref="H53:I53"/>
    <mergeCell ref="H54:I54"/>
    <mergeCell ref="E56:F56"/>
    <mergeCell ref="H56:I56"/>
    <mergeCell ref="E57:F57"/>
    <mergeCell ref="H57:I57"/>
    <mergeCell ref="Y59:AA61"/>
    <mergeCell ref="E31:F31"/>
    <mergeCell ref="H31:I31"/>
    <mergeCell ref="V31:W31"/>
    <mergeCell ref="Y31:Z31"/>
    <mergeCell ref="H32:I32"/>
    <mergeCell ref="V32:W32"/>
    <mergeCell ref="Y32:Z32"/>
    <mergeCell ref="Y34:Z34"/>
    <mergeCell ref="Y35:Z35"/>
    <mergeCell ref="V53:W53"/>
    <mergeCell ref="Y53:Z53"/>
    <mergeCell ref="V54:W54"/>
    <mergeCell ref="Y54:Z54"/>
    <mergeCell ref="E44:H46"/>
    <mergeCell ref="E49:F49"/>
    <mergeCell ref="H49:I49"/>
    <mergeCell ref="B50:P50"/>
    <mergeCell ref="S50:AG50"/>
    <mergeCell ref="E53:F53"/>
    <mergeCell ref="E54:F54"/>
    <mergeCell ref="V44:Y46"/>
    <mergeCell ref="AA44:AB46"/>
    <mergeCell ref="C41:D42"/>
    <mergeCell ref="E41:O42"/>
    <mergeCell ref="V41:AF42"/>
    <mergeCell ref="C44:D46"/>
    <mergeCell ref="J44:K46"/>
    <mergeCell ref="L44:O46"/>
    <mergeCell ref="AC44:AF46"/>
    <mergeCell ref="C15:C17"/>
    <mergeCell ref="D15:E17"/>
    <mergeCell ref="C19:D20"/>
    <mergeCell ref="C22:D24"/>
    <mergeCell ref="E22:H24"/>
    <mergeCell ref="J22:K24"/>
    <mergeCell ref="L22:O24"/>
    <mergeCell ref="B27:P27"/>
    <mergeCell ref="B28:P28"/>
    <mergeCell ref="S28:AG28"/>
    <mergeCell ref="G15:G17"/>
    <mergeCell ref="H15:J17"/>
    <mergeCell ref="L15:L17"/>
    <mergeCell ref="M15:O17"/>
    <mergeCell ref="U15:V17"/>
    <mergeCell ref="X15:X17"/>
    <mergeCell ref="E19:O20"/>
    <mergeCell ref="E10:F10"/>
    <mergeCell ref="E12:F12"/>
    <mergeCell ref="H12:I12"/>
    <mergeCell ref="E13:F13"/>
    <mergeCell ref="H13:I13"/>
    <mergeCell ref="Y15:AA17"/>
    <mergeCell ref="AC15:AC17"/>
    <mergeCell ref="AD15:AF17"/>
    <mergeCell ref="V19:AF20"/>
    <mergeCell ref="T15:T17"/>
    <mergeCell ref="T19:U20"/>
    <mergeCell ref="T22:U24"/>
    <mergeCell ref="V22:Y24"/>
    <mergeCell ref="AA22:AB24"/>
    <mergeCell ref="AC22:AF24"/>
    <mergeCell ref="V9:W9"/>
    <mergeCell ref="V10:W10"/>
    <mergeCell ref="V12:W12"/>
    <mergeCell ref="Y12:Z12"/>
    <mergeCell ref="V13:W13"/>
    <mergeCell ref="Y13:Z13"/>
    <mergeCell ref="B6:P6"/>
    <mergeCell ref="S6:AG6"/>
    <mergeCell ref="E9:F9"/>
    <mergeCell ref="H9:I9"/>
    <mergeCell ref="Y9:Z9"/>
    <mergeCell ref="H10:I10"/>
    <mergeCell ref="Y10:Z10"/>
  </mergeCells>
  <conditionalFormatting sqref="H10:I11 Y10:Z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 T10:T11 C32:C33 T32:T33 C51 C54:C55 T54:T55 C76:C77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Sofia Natalia Cañarte</cp:lastModifiedBy>
  <dcterms:created xsi:type="dcterms:W3CDTF">2019-10-21T15:37:14Z</dcterms:created>
  <dcterms:modified xsi:type="dcterms:W3CDTF">2026-07-16T04:50:55Z</dcterms:modified>
</cp:coreProperties>
</file>