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4"/>
    <sheet state="visible" name="MODELO LISTA DE COMPROBACION - " sheetId="2" r:id="rId5"/>
    <sheet state="visible" name="Sheet1" sheetId="3" r:id="rId6"/>
    <sheet state="visible" name="Sheet2" sheetId="4" r:id="rId7"/>
    <sheet state="visible" name="RECOMENDACIONES - CU03" sheetId="5" r:id="rId8"/>
    <sheet state="visible" name="RECOMENDACIONES - CU04" sheetId="6" r:id="rId9"/>
    <sheet state="visible" name="RECOMENDACIONES - CU05" sheetId="7" r:id="rId10"/>
  </sheets>
  <definedNames/>
  <calcPr/>
  <extLst>
    <ext uri="GoogleSheetsCustomDataVersion2">
      <go:sheetsCustomData xmlns:go="http://customooxmlschemas.google.com/" r:id="rId11" roundtripDataChecksum="S6gHsPjv1N90kAcwDvwo1tRE9Adry+/GbkPw5dbW6g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======
ID#AAAB3REp89A
jeny ruiz    (2026-04-14 14:34:54)
La información contenida en memoria se utiliza para actualizar los campos de la base de datos.</t>
      </text>
    </comment>
    <comment authorId="0" ref="C14">
      <text>
        <t xml:space="preserve">======
ID#AAAB3REp89E
jeny ruiz    (2026-04-14 14:34:54)
Sin contradicciones</t>
      </text>
    </comment>
    <comment authorId="0" ref="I7">
      <text>
        <t xml:space="preserve">======
ID#AAAB3REp884
jeny ruiz    (2026-04-14 14:34:54)
Se guarda en un archivo Excel los registros que dieron un problema en la actualización.</t>
      </text>
    </comment>
    <comment authorId="0" ref="C11">
      <text>
        <t xml:space="preserve">======
ID#AAAB3REp88o
jeny ruiz    (2026-04-14 14:34:54)
Todos los lectores comprenden de la misma manera, sólo una interpretación</t>
      </text>
    </comment>
    <comment authorId="0" ref="C13">
      <text>
        <t xml:space="preserve">======
ID#AAAB3REp88c
jeny ruiz    (2026-04-14 14:34:54)
Refleja las espectativas  del implicado</t>
      </text>
    </comment>
    <comment authorId="0" ref="C16">
      <text>
        <t xml:space="preserve">======
ID#AAAB3REp88k
jeny ruiz    (2026-04-14 14:34:54)
Puede ser implementado  y desarrollado en las condiciones actuales(tiempo, Presupuest,, orgtanizaciòn, ect)</t>
      </text>
    </comment>
    <comment authorId="0" ref="C19">
      <text>
        <t xml:space="preserve">======
ID#AAAB3REp88Q
jeny ruiz    (2026-04-14 14:34:54)
Para todos los interesados dependiendo  de la fase del proyecto podrían estar involucrados  distintos implicados,(Glosario de tèrminos)</t>
      </text>
    </comment>
    <comment authorId="0" ref="C12">
      <text>
        <t xml:space="preserve">======
ID#AAAB3REp88U
jeny ruiz    (2026-04-14 14:34:54)
Toda nueva información  ha sido incorporada</t>
      </text>
    </comment>
    <comment authorId="0" ref="K7">
      <text>
        <t xml:space="preserve">======
ID#AAAB3REp88E
jeny ruiz    (2026-04-14 14:34:54)
jeny ruiz:
Posterior a la actualización, se guardaran automáticamente el nombre de usuario, fecha, hora, registro antiguo, registro nuevo.</t>
      </text>
    </comment>
    <comment authorId="0" ref="I9">
      <text>
        <t xml:space="preserve">======
ID#AAAB3REp88I
jeny ruiz    (2026-04-14 14:34:54)
Es importante ingresar el archivo plano en formato excel para el cliente y el desarrollador</t>
      </text>
    </comment>
    <comment authorId="0" ref="K9">
      <text>
        <t xml:space="preserve">======
ID#AAAB3REp874
jeny ruiz    (2026-04-14 14:34:54)
Es importante ingresar el archivo plano en formato excel para el cliente y el desarrollador</t>
      </text>
    </comment>
    <comment authorId="0" ref="C10">
      <text>
        <t xml:space="preserve">======
ID#AAAB3REp878
jeny ruiz    (2026-04-14 14:34:54)
Ponderado por importancia o prioridad</t>
      </text>
    </comment>
    <comment authorId="0" ref="C17">
      <text>
        <t xml:space="preserve">======
ID#AAAB3REp88A
jeny ruiz    (2026-04-14 14:34:54)
El origen del requisito y sus relaciones con otros requisitos  están claros.</t>
      </text>
    </comment>
    <comment authorId="0" ref="E7">
      <text>
        <t xml:space="preserve">======
ID#AAAB3REp870
jeny ruiz    (2026-04-14 14:34:54)
Control del nivel de acuedo entre las partes Cliente y Desarrollador</t>
      </text>
    </comment>
    <comment authorId="0" ref="C15">
      <text>
        <t xml:space="preserve">======
ID#AAAB3REp87w
jeny ruiz    (2026-04-14 14:34:54)
Su cumplimiento o no cumplimiento puede der probado con un esfuerzo razonable</t>
      </text>
    </comment>
    <comment authorId="0" ref="C18">
      <text>
        <t xml:space="preserve">======
ID#AAAB3REp87k
jeny ruiz    (2026-04-14 14:34:54)
Trata todos los asuntos relevantes</t>
      </text>
    </comment>
    <comment authorId="0" ref="J7">
      <text>
        <t xml:space="preserve">======
ID#AAAB3REp87o
jeny ruiz    (2026-04-14 14:34:54)
Control del nivel de acuedo entre las partes Cliente y Desarrollador</t>
      </text>
    </comment>
    <comment authorId="0" ref="C9">
      <text>
        <t xml:space="preserve">======
ID#AAAB3REp87c
jeny ruiz    (2026-04-14 14:34:54)
Todos los interesados reconocen que el  requisito es correcto y relevante</t>
      </text>
    </comment>
  </commentList>
  <extLst>
    <ext uri="GoogleSheetsCustomDataVersion2">
      <go:sheetsCustomData xmlns:go="http://customooxmlschemas.google.com/" r:id="rId1" roundtripDataSignature="AMtx7mhaGOltH4P1rymXMryQeyMjX85ph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ID#AAAB3REp89I
ESPE    (2026-04-14 14:34:54)
trazabilidad</t>
      </text>
    </comment>
    <comment authorId="0" ref="B8">
      <text>
        <t xml:space="preserve">======
ID#AAAB3REp888
ESPE    (2026-04-14 14:34:54)
COMPLETITUD DOCUMENTO</t>
      </text>
    </comment>
    <comment authorId="0" ref="B10">
      <text>
        <t xml:space="preserve">======
ID#AAAB3REp88s
ESPE    (2026-04-14 14:34:54)
TRAZABILIDAD</t>
      </text>
    </comment>
    <comment authorId="0" ref="B14">
      <text>
        <t xml:space="preserve">======
ID#AAAB3REp88w
ESPE    (2026-04-14 14:34:54)
CONSISTENCIA</t>
      </text>
    </comment>
    <comment authorId="0" ref="B16">
      <text>
        <t xml:space="preserve">======
ID#AAAB3REp88g
ESPE    (2026-04-14 14:34:54)
verificable</t>
      </text>
    </comment>
    <comment authorId="0" ref="B15">
      <text>
        <t xml:space="preserve">======
ID#AAAB3REp88Y
ESPE    (2026-04-14 14:34:54)
NECESIDAD</t>
      </text>
    </comment>
    <comment authorId="0" ref="B13">
      <text>
        <t xml:space="preserve">======
ID#AAAB3REp88M
ESPE    (2026-04-14 14:34:54)
CORRECCION</t>
      </text>
    </comment>
    <comment authorId="0" ref="B9">
      <text>
        <t xml:space="preserve">======
ID#AAAB3REp87g
ESPE    (2026-04-14 14:34:54)
COMPLETITUD REQUISITO INDIVIDUAL</t>
      </text>
    </comment>
    <comment authorId="0" ref="B12">
      <text>
        <t xml:space="preserve">======
ID#AAAB3REp87Y
ESPE    (2026-04-14 14:34:54)
TRAZABILIDAD</t>
      </text>
    </comment>
  </commentList>
  <extLst>
    <ext uri="GoogleSheetsCustomDataVersion2">
      <go:sheetsCustomData xmlns:go="http://customooxmlschemas.google.com/" r:id="rId1" roundtripDataSignature="AMtx7mi1hbdeArCARehdKRgSCuShOfaTeA=="/>
    </ext>
  </extLst>
</comments>
</file>

<file path=xl/sharedStrings.xml><?xml version="1.0" encoding="utf-8"?>
<sst xmlns="http://schemas.openxmlformats.org/spreadsheetml/2006/main" count="306" uniqueCount="111">
  <si>
    <t>MATRIZ PARA COMPROBACIÓN REQUERIMIENTOS DE CALIDAD DE PROYECTO ACADEMICO</t>
  </si>
  <si>
    <t>SISTEMA:</t>
  </si>
  <si>
    <t>SISTEMA DE GESTIÓN DE CITAS FISIOTERAPÉUTICAS (FI-CITAS)</t>
  </si>
  <si>
    <t>Requerimientos  Funcionales</t>
  </si>
  <si>
    <t>Nº</t>
  </si>
  <si>
    <t>CRITERIOS DE CALIDAD (Documento/Requerimientos)</t>
  </si>
  <si>
    <t>Status
Nivel de Acuerdo</t>
  </si>
  <si>
    <t xml:space="preserve">
CU05 Gestionar Perfiles
</t>
  </si>
  <si>
    <t>CU04 Gestionar Paciente</t>
  </si>
  <si>
    <t>CU03 Gestionar Cita</t>
  </si>
  <si>
    <t>Agreed</t>
  </si>
  <si>
    <t>OK</t>
  </si>
  <si>
    <t>1. Acuerdo mediante entrevista y documentado a través de minuta de la videoconferencia.</t>
  </si>
  <si>
    <t xml:space="preserve">1. Aceptación por videoconferencia. </t>
  </si>
  <si>
    <t>1. Acuerdo mediante entrevista documentada en la minuta de la videoconferencia</t>
  </si>
  <si>
    <t>Ranked</t>
  </si>
  <si>
    <t>NOK</t>
  </si>
  <si>
    <t>1. En la descripción del caso de Uso se especifica su prioridad, la cual es primaria, pero la ennumeración es inadecuada.</t>
  </si>
  <si>
    <t xml:space="preserve">1. Se especifica tipo primario, pero la priorización es inadecuada. </t>
  </si>
  <si>
    <t>1. En el tipo de Caso de Uso se especifica que es primario, pero no se ve reflejado en la numeración.</t>
  </si>
  <si>
    <t>Unambiguos</t>
  </si>
  <si>
    <t>1.  Redacción clara para la interpretación.</t>
  </si>
  <si>
    <t>1. Interpretación uniforme.                                2. Redacción clara.</t>
  </si>
  <si>
    <t>1. Redacción clara y uniforme.                     2. Se coincide en la interpretación del requisito</t>
  </si>
  <si>
    <t>Valid and up-to date</t>
  </si>
  <si>
    <t>1. La última versión del requisito fue validada y aprobada por el cliente antes de la última revisión, por lo cual no requirió una actualización.</t>
  </si>
  <si>
    <t>1. Observaciones y correciones desde la última versión no han sido implementadas.</t>
  </si>
  <si>
    <t>1. La última versión del requisito no fue verificada con el cliente.                               2. Correcciones no implementadas</t>
  </si>
  <si>
    <t>Correct</t>
  </si>
  <si>
    <t>1. Refleja las necesidades del cliente en el manejo de diferentes roles de perfil.</t>
  </si>
  <si>
    <t xml:space="preserve">1. Coincide con las necesidades del cliente. </t>
  </si>
  <si>
    <t>1. Refleja exitosamente las necesidades del cliente con respecto a la gestión de citas del centro fisioterapéutico, que corresponde a la principal intención del sistema.</t>
  </si>
  <si>
    <t>Consisten</t>
  </si>
  <si>
    <t>1. La gestión de perfiles es un requisito sacado directamente de los diagramas de casos de uso y está conectada con otros casos de uso y conceptos predefinidos sin contradecirlos .</t>
  </si>
  <si>
    <t xml:space="preserve">1. Flujo consistente en la redacción. No hay contradicciones. </t>
  </si>
  <si>
    <t>1. No existen contradicciones en la redacción ni en los diagramas planteados</t>
  </si>
  <si>
    <t>Verifiable</t>
  </si>
  <si>
    <t>1. El requisito no es medible
2.  Falta Casos de Prueba</t>
  </si>
  <si>
    <t xml:space="preserve">1. Carece de Casos de Prueba que permitan verificarlo.                                                                               2. Faltan aspectos medibles específicos. </t>
  </si>
  <si>
    <t>1. No se establecen criterios de medición, tampoco Casos de Prueba</t>
  </si>
  <si>
    <t>Realizable</t>
  </si>
  <si>
    <t>1. Funcionalidad no está tomada en cuenta dentro de la estimación del costo del proyecto
2. No se ha desarrollado</t>
  </si>
  <si>
    <t xml:space="preserve">1. No puede ser implementado actualmente por cuestiones de presupuesto, cliente y equipo. </t>
  </si>
  <si>
    <t>1.  No es posible implementarlo bajo las condiciones actuales limitadas respecto al presupuesto y cliente.</t>
  </si>
  <si>
    <t>Traceable</t>
  </si>
  <si>
    <t>1. Es claro el origen del requisito y su relación con otros requisitos mediante la matriz de trazabilidad.
2. Cuenta con un identificador único</t>
  </si>
  <si>
    <t xml:space="preserve">1. Existe Matriz de Trazabilidad que deja claro el origen y relaciones del requisito. </t>
  </si>
  <si>
    <t>1. El origen del requisito es claro y se ve reflejado en la matriz de trazabilidad, así como las relaciones que mantiene con otros requisitos.                                             2. Tiene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</si>
  <si>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</si>
  <si>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</si>
  <si>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 xml:space="preserve">1. Presenta descripción, actor, precondición, secuencia normal, postcondición, excepciones, versión y comentarios. </t>
  </si>
  <si>
    <t>1. Se abarcan los elementos necesarios y completos para comprender el requisito de forma clara.</t>
  </si>
  <si>
    <t>Understandability</t>
  </si>
  <si>
    <t>1. Se involucra al cliente
2. Existe glosario de términos</t>
  </si>
  <si>
    <t>1. Entendible para todos los implicados.                                  2. Glosario de términos claro.</t>
  </si>
  <si>
    <t>1. Comprensible para personal involucrado en el proyecto (existe un glosario de términos).</t>
  </si>
  <si>
    <t>Sistema De Gestión Citas Fisioterapéuticas Fi-Citas</t>
  </si>
  <si>
    <t>FECHA:</t>
  </si>
  <si>
    <t>14-Abril-2026</t>
  </si>
  <si>
    <t>AUTOR:</t>
  </si>
  <si>
    <t>Doménica Villagómez</t>
  </si>
  <si>
    <t>REQUERIMIENTOS EVALUADOS :</t>
  </si>
  <si>
    <t>CU03 Gestionar Citas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</si>
  <si>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</si>
  <si>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</si>
  <si>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</si>
  <si>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</si>
  <si>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</si>
  <si>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</si>
  <si>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</si>
  <si>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</si>
  <si>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</si>
  <si>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</si>
  <si>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</si>
  <si>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</si>
  <si>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</si>
  <si>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</si>
  <si>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</si>
  <si>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</si>
  <si>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</si>
  <si>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</si>
  <si>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</si>
  <si>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</si>
  <si>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</si>
  <si>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</si>
  <si>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</si>
  <si>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*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</si>
  <si>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</si>
  <si>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</si>
  <si>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</si>
  <si>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</si>
  <si>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</si>
  <si>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</si>
  <si>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Sistema De Gestión De Citas (FI-CITAS)</t>
  </si>
  <si>
    <t>Saray Adriana Cañarte Galarza</t>
  </si>
  <si>
    <t>CU04. Gestionar Paciente</t>
  </si>
  <si>
    <t>x</t>
  </si>
  <si>
    <t>Danny Mateo Ayuquina Navas</t>
  </si>
  <si>
    <t>CU05 Gestión de Perfiles</t>
  </si>
  <si>
    <t>Existe algún mecanismo que permita seguir el impacto de dicho requerimiento a lo largo del resto de las actividades del ciclo productivo.?</t>
  </si>
  <si>
    <t>El origen de cada requerimento individual está claro?</t>
  </si>
  <si>
    <t>El requerimiento que se esta especificando contribuye a alcanzar un objetivo definido?</t>
  </si>
  <si>
    <t>PREGUNTA</t>
  </si>
  <si>
    <t>RECOMENDACIÓN</t>
  </si>
  <si>
    <t>¿Se han validado y aprobado formalmente todos los entregables de la entrevista (videoconferencia, minuta, acta de aceptación)?</t>
  </si>
  <si>
    <t xml:space="preserve">Validar con el cliente la versión final documentada y respaldarla con un Acta de Reunión firmada. Previo a este proceso realizar las correcciones de la última versión y priorizar adecuadamente. </t>
  </si>
  <si>
    <t>¿Se han definido criterios de aceptación y casos de prueba
 que permitan medir objetivamente el cumplimiento del 
requisito?</t>
  </si>
  <si>
    <t xml:space="preserve">Definir criterios de aceptación basado en escenarios (BDD/Gherkin) y basado en reglas. Diseñar y elaborar casos de prueba para asociarlos a pruebas unitarias automatizadas. </t>
  </si>
  <si>
    <t>En primera instancia, se deben realizar las respectivas correcciones dadas y mejorar la priorización de requisitos. Validar con el cliente la versión final documentada y respaldarla con el SRS firmado por los implicados.</t>
  </si>
  <si>
    <t>Se deben definir criterios de aceptación basado en escenarios (BDD/Gherkin) y basado en reglas. Diseñar y elaborar casos de prueba.</t>
  </si>
  <si>
    <t>Tomar en cuenta que la última versión de la Gestión de Perfiles necesito de correcciones, por lo cual estaría validada por la cliente.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</si>
</sst>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rgb="FF1F497D"/>
      <name val="Calibri"/>
    </font>
    <font>
      <b/>
      <sz val="18.0"/>
      <color theme="1"/>
      <name val="Calibri"/>
    </font>
    <font>
      <b/>
      <sz val="18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6.0"/>
      <color theme="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b/>
      <sz val="16.0"/>
      <color rgb="FFFFFFFF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1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4" fillId="2" fontId="7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7" fillId="0" fontId="8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7" fillId="4" fontId="10" numFmtId="0" xfId="0" applyAlignment="1" applyBorder="1" applyFill="1" applyFont="1">
      <alignment horizontal="center" shrinkToFit="0" vertical="center" wrapText="1"/>
    </xf>
    <xf borderId="12" fillId="3" fontId="11" numFmtId="0" xfId="0" applyAlignment="1" applyBorder="1" applyFont="1">
      <alignment horizontal="left" readingOrder="0" shrinkToFit="0" vertical="center" wrapText="1"/>
    </xf>
    <xf borderId="7" fillId="4" fontId="10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7" fillId="5" fontId="10" numFmtId="0" xfId="0" applyAlignment="1" applyBorder="1" applyFill="1" applyFont="1">
      <alignment horizontal="center" readingOrder="0" shrinkToFit="0" vertical="center" wrapText="1"/>
    </xf>
    <xf borderId="7" fillId="3" fontId="11" numFmtId="0" xfId="0" applyAlignment="1" applyBorder="1" applyFont="1">
      <alignment readingOrder="0" shrinkToFit="0" vertical="center" wrapText="1"/>
    </xf>
    <xf borderId="7" fillId="3" fontId="11" numFmtId="0" xfId="0" applyAlignment="1" applyBorder="1" applyFont="1">
      <alignment horizontal="left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7" fillId="5" fontId="10" numFmtId="0" xfId="0" applyAlignment="1" applyBorder="1" applyFont="1">
      <alignment horizontal="center" shrinkToFit="0" vertical="center" wrapText="1"/>
    </xf>
    <xf borderId="13" fillId="3" fontId="11" numFmtId="0" xfId="0" applyAlignment="1" applyBorder="1" applyFont="1">
      <alignment horizontal="left" readingOrder="0" shrinkToFit="0" vertical="center" wrapText="1"/>
    </xf>
    <xf borderId="7" fillId="3" fontId="11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vertical="top"/>
    </xf>
    <xf borderId="0" fillId="0" fontId="13" numFmtId="0" xfId="0" applyAlignment="1" applyFont="1">
      <alignment horizontal="left" vertical="top"/>
    </xf>
    <xf borderId="0" fillId="0" fontId="14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horizontal="left"/>
    </xf>
    <xf borderId="0" fillId="0" fontId="14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center" vertical="center"/>
    </xf>
    <xf borderId="12" fillId="6" fontId="14" numFmtId="0" xfId="0" applyAlignment="1" applyBorder="1" applyFill="1" applyFont="1">
      <alignment horizontal="center" vertical="center"/>
    </xf>
    <xf borderId="14" fillId="6" fontId="14" numFmtId="0" xfId="0" applyAlignment="1" applyBorder="1" applyFont="1">
      <alignment horizontal="center" vertical="center"/>
    </xf>
    <xf borderId="15" fillId="6" fontId="14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left" vertical="center"/>
    </xf>
    <xf borderId="0" fillId="0" fontId="8" numFmtId="9" xfId="0" applyFont="1" applyNumberFormat="1"/>
    <xf borderId="16" fillId="0" fontId="15" numFmtId="0" xfId="0" applyAlignment="1" applyBorder="1" applyFont="1">
      <alignment horizontal="center" vertical="center"/>
    </xf>
    <xf borderId="16" fillId="0" fontId="5" numFmtId="0" xfId="0" applyBorder="1" applyFont="1"/>
    <xf borderId="10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0" fillId="0" fontId="16" numFmtId="0" xfId="0" applyAlignment="1" applyFont="1">
      <alignment readingOrder="0"/>
    </xf>
    <xf borderId="0" fillId="0" fontId="13" numFmtId="0" xfId="0" applyAlignment="1" applyFont="1">
      <alignment horizontal="center"/>
    </xf>
    <xf borderId="0" fillId="0" fontId="8" numFmtId="0" xfId="0" applyAlignment="1" applyFont="1">
      <alignment readingOrder="0"/>
    </xf>
    <xf borderId="5" fillId="0" fontId="8" numFmtId="0" xfId="0" applyAlignment="1" applyBorder="1" applyFont="1">
      <alignment horizontal="center" vertical="center"/>
    </xf>
    <xf borderId="0" fillId="0" fontId="14" numFmtId="15" xfId="0" applyAlignment="1" applyFont="1" applyNumberFormat="1">
      <alignment horizontal="left" readingOrder="0" shrinkToFit="0" wrapText="1"/>
    </xf>
    <xf borderId="1" fillId="0" fontId="17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readingOrder="0" shrinkToFit="0" wrapText="1"/>
    </xf>
    <xf borderId="7" fillId="0" fontId="8" numFmtId="0" xfId="0" applyAlignment="1" applyBorder="1" applyFont="1">
      <alignment horizontal="center" readingOrder="0" vertical="center"/>
    </xf>
    <xf borderId="5" fillId="0" fontId="17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center" readingOrder="0" vertical="center"/>
    </xf>
    <xf borderId="7" fillId="7" fontId="18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readingOrder="0" shrinkToFit="0" wrapText="1"/>
    </xf>
    <xf borderId="0" fillId="0" fontId="16" numFmtId="0" xfId="0" applyAlignment="1" applyFont="1">
      <alignment shrinkToFit="0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  <tableStyles count="9">
    <tableStyle count="3" pivot="0" name="MODELO LISTA DE COMPROBACION - -style">
      <tableStyleElement dxfId="1" type="headerRow"/>
      <tableStyleElement dxfId="2" type="firstRowStripe"/>
      <tableStyleElement dxfId="3" type="secondRowStripe"/>
    </tableStyle>
    <tableStyle count="3" pivot="0" name="MODELO LISTA DE COMPROBACION - -style 2">
      <tableStyleElement dxfId="4" type="headerRow"/>
      <tableStyleElement dxfId="5" type="firstRowStripe"/>
      <tableStyleElement dxfId="3" type="secondRowStripe"/>
    </tableStyle>
    <tableStyle count="3" pivot="0" name="MODELO LISTA DE COMPROBACION - -style 3">
      <tableStyleElement dxfId="6" type="headerRow"/>
      <tableStyleElement dxfId="7" type="firstRowStripe"/>
      <tableStyleElement dxfId="3" type="secondRowStripe"/>
    </tableStyle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4" type="headerRow"/>
      <tableStyleElement dxfId="5" type="firstRowStripe"/>
      <tableStyleElement dxfId="3" type="secondRowStripe"/>
    </tableStyle>
    <tableStyle count="3" pivot="0" name="Sheet1-style 3">
      <tableStyleElement dxfId="6" type="headerRow"/>
      <tableStyleElement dxfId="7" type="firstRowStripe"/>
      <tableStyleElement dxfId="3" type="secondRowStripe"/>
    </tableStyle>
    <tableStyle count="3" pivot="0" name="Sheet2-style">
      <tableStyleElement dxfId="1" type="headerRow"/>
      <tableStyleElement dxfId="2" type="firstRowStripe"/>
      <tableStyleElement dxfId="3" type="secondRowStripe"/>
    </tableStyle>
    <tableStyle count="3" pivot="0" name="Sheet2-style 2">
      <tableStyleElement dxfId="4" type="headerRow"/>
      <tableStyleElement dxfId="5" type="firstRowStripe"/>
      <tableStyleElement dxfId="3" type="secondRowStripe"/>
    </tableStyle>
    <tableStyle count="3" pivot="0" name="Sheet2-style 3">
      <tableStyleElement dxfId="6" type="headerRow"/>
      <tableStyleElement dxfId="7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- '!$B$41:$B$43</c:f>
            </c:strRef>
          </c:cat>
          <c:val>
            <c:numRef>
              <c:f>'MODELO LISTA DE COMPROBACION - 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Sheet1!$B$41:$B$43</c:f>
            </c:strRef>
          </c:cat>
          <c:val>
            <c:numRef>
              <c:f>Sheet1!$C$41:$C$43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Sheet2!$B$41:$B$43</c:f>
            </c:strRef>
          </c:cat>
          <c:val>
            <c:numRef>
              <c:f>Sheet2!$C$41:$C$43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8532476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1124805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73025790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7:D16" displayName="Table_1" name="Table_1" id="1">
  <tableColumns count="4">
    <tableColumn name="No." id="1"/>
    <tableColumn name="Pregunta" id="2"/>
    <tableColumn name="SI" id="3"/>
    <tableColumn name="NO " id="4"/>
  </tableColumns>
  <tableStyleInfo name="MODELO LISTA DE COMPROBACION - -style" showColumnStripes="0" showFirstColumn="1" showLastColumn="1" showRowStripes="1"/>
</table>
</file>

<file path=xl/tables/table2.xml><?xml version="1.0" encoding="utf-8"?>
<table xmlns="http://schemas.openxmlformats.org/spreadsheetml/2006/main" ref="A21:D26" displayName="Table_2" name="Table_2" id="2">
  <tableColumns count="4">
    <tableColumn name="No." id="1"/>
    <tableColumn name="Pregunta" id="2"/>
    <tableColumn name="SI" id="3"/>
    <tableColumn name="NO " id="4"/>
  </tableColumns>
  <tableStyleInfo name="MODELO LISTA DE COMPROBACION - -style 2" showColumnStripes="0" showFirstColumn="1" showLastColumn="1" showRowStripes="1"/>
</table>
</file>

<file path=xl/tables/table3.xml><?xml version="1.0" encoding="utf-8"?>
<table xmlns="http://schemas.openxmlformats.org/spreadsheetml/2006/main" ref="A31:D34" displayName="Table_3" name="Table_3" id="3">
  <tableColumns count="4">
    <tableColumn name="No." id="1"/>
    <tableColumn name="Pregunta" id="2"/>
    <tableColumn name="SI" id="3"/>
    <tableColumn name="NO " id="4"/>
  </tableColumns>
  <tableStyleInfo name="MODELO LISTA DE COMPROBACION - -style 3" showColumnStripes="0" showFirstColumn="1" showLastColumn="1" showRowStripes="1"/>
</table>
</file>

<file path=xl/tables/table4.xml><?xml version="1.0" encoding="utf-8"?>
<table xmlns="http://schemas.openxmlformats.org/spreadsheetml/2006/main" ref="A7:D16" displayName="Table_4" name="Table_4" id="4">
  <tableColumns count="4">
    <tableColumn name="No." id="1"/>
    <tableColumn name="Pregunta" id="2"/>
    <tableColumn name="SI" id="3"/>
    <tableColumn name="NO " id="4"/>
  </tableColumns>
  <tableStyleInfo name="Sheet1-style" showColumnStripes="0" showFirstColumn="1" showLastColumn="1" showRowStripes="1"/>
</table>
</file>

<file path=xl/tables/table5.xml><?xml version="1.0" encoding="utf-8"?>
<table xmlns="http://schemas.openxmlformats.org/spreadsheetml/2006/main" ref="A21:D26" displayName="Table_5" name="Table_5" id="5">
  <tableColumns count="4">
    <tableColumn name="No." id="1"/>
    <tableColumn name="Pregunta" id="2"/>
    <tableColumn name="SI" id="3"/>
    <tableColumn name="NO " id="4"/>
  </tableColumns>
  <tableStyleInfo name="Sheet1-style 2" showColumnStripes="0" showFirstColumn="1" showLastColumn="1" showRowStripes="1"/>
</table>
</file>

<file path=xl/tables/table6.xml><?xml version="1.0" encoding="utf-8"?>
<table xmlns="http://schemas.openxmlformats.org/spreadsheetml/2006/main" ref="A31:D34" displayName="Table_6" name="Table_6" id="6">
  <tableColumns count="4">
    <tableColumn name="No." id="1"/>
    <tableColumn name="Pregunta" id="2"/>
    <tableColumn name="SI" id="3"/>
    <tableColumn name="NO " id="4"/>
  </tableColumns>
  <tableStyleInfo name="Sheet1-style 3" showColumnStripes="0" showFirstColumn="1" showLastColumn="1" showRowStripes="1"/>
</table>
</file>

<file path=xl/tables/table7.xml><?xml version="1.0" encoding="utf-8"?>
<table xmlns="http://schemas.openxmlformats.org/spreadsheetml/2006/main" ref="A7:D16" displayName="Table_7" name="Table_7" id="7">
  <tableColumns count="4">
    <tableColumn name="No." id="1"/>
    <tableColumn name="Pregunta" id="2"/>
    <tableColumn name="SI" id="3"/>
    <tableColumn name="NO " id="4"/>
  </tableColumns>
  <tableStyleInfo name="Sheet2-style" showColumnStripes="0" showFirstColumn="1" showLastColumn="1" showRowStripes="1"/>
</table>
</file>

<file path=xl/tables/table8.xml><?xml version="1.0" encoding="utf-8"?>
<table xmlns="http://schemas.openxmlformats.org/spreadsheetml/2006/main" ref="A21:D26" displayName="Table_8" name="Table_8" id="8">
  <tableColumns count="4">
    <tableColumn name="No." id="1"/>
    <tableColumn name="Pregunta" id="2"/>
    <tableColumn name="SI" id="3"/>
    <tableColumn name="NO " id="4"/>
  </tableColumns>
  <tableStyleInfo name="Sheet2-style 2" showColumnStripes="0" showFirstColumn="1" showLastColumn="1" showRowStripes="1"/>
</table>
</file>

<file path=xl/tables/table9.xml><?xml version="1.0" encoding="utf-8"?>
<table xmlns="http://schemas.openxmlformats.org/spreadsheetml/2006/main" ref="A31:D34" displayName="Table_9" name="Table_9" id="9">
  <tableColumns count="4">
    <tableColumn name="No." id="1"/>
    <tableColumn name="Pregunta" id="2"/>
    <tableColumn name="SI" id="3"/>
    <tableColumn name="NO " id="4"/>
  </tableColumns>
  <tableStyleInfo name="Sheet2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34.86"/>
    <col customWidth="1" min="5" max="5" width="9.71"/>
    <col customWidth="1" min="6" max="6" width="42.71"/>
    <col customWidth="1" min="7" max="7" width="10.14"/>
    <col customWidth="1" hidden="1" min="8" max="8" width="4.71"/>
    <col customWidth="1" min="9" max="9" width="42.71"/>
    <col customWidth="1" min="10" max="10" width="9.86"/>
    <col customWidth="1" min="11" max="11" width="39.57"/>
  </cols>
  <sheetData>
    <row r="1" ht="14.25" customHeight="1">
      <c r="C1" s="1"/>
    </row>
    <row r="2" ht="14.25" customHeight="1">
      <c r="C2" s="1"/>
    </row>
    <row r="3" ht="30.0" customHeight="1">
      <c r="C3" s="2" t="s">
        <v>0</v>
      </c>
    </row>
    <row r="4" ht="30.0" customHeight="1"/>
    <row r="5" ht="30.0" customHeight="1">
      <c r="C5" s="2"/>
      <c r="D5" s="3" t="s">
        <v>1</v>
      </c>
      <c r="E5" s="4" t="s">
        <v>2</v>
      </c>
    </row>
    <row r="6" ht="55.5" customHeight="1">
      <c r="C6" s="1"/>
      <c r="F6" s="5" t="s">
        <v>3</v>
      </c>
      <c r="G6" s="6"/>
      <c r="H6" s="6"/>
      <c r="I6" s="6"/>
      <c r="J6" s="6"/>
      <c r="K6" s="7"/>
    </row>
    <row r="7" ht="45.0" customHeight="1">
      <c r="B7" s="8" t="s">
        <v>4</v>
      </c>
      <c r="C7" s="9" t="s">
        <v>5</v>
      </c>
      <c r="D7" s="10"/>
      <c r="E7" s="11" t="s">
        <v>6</v>
      </c>
      <c r="F7" s="12" t="s">
        <v>7</v>
      </c>
      <c r="G7" s="11"/>
      <c r="H7" s="13"/>
      <c r="I7" s="12" t="s">
        <v>8</v>
      </c>
      <c r="J7" s="11"/>
      <c r="K7" s="12" t="s">
        <v>9</v>
      </c>
    </row>
    <row r="8" ht="60.0" customHeight="1">
      <c r="B8" s="14"/>
      <c r="C8" s="15"/>
      <c r="D8" s="16"/>
      <c r="E8" s="14"/>
      <c r="F8" s="14"/>
      <c r="G8" s="14"/>
      <c r="H8" s="13"/>
      <c r="I8" s="14"/>
      <c r="J8" s="14"/>
      <c r="K8" s="14"/>
    </row>
    <row r="9">
      <c r="B9" s="17">
        <v>1.0</v>
      </c>
      <c r="C9" s="18" t="s">
        <v>10</v>
      </c>
      <c r="D9" s="7"/>
      <c r="E9" s="19" t="s">
        <v>11</v>
      </c>
      <c r="F9" s="20" t="s">
        <v>12</v>
      </c>
      <c r="G9" s="21" t="s">
        <v>11</v>
      </c>
      <c r="H9" s="22"/>
      <c r="I9" s="20" t="s">
        <v>13</v>
      </c>
      <c r="J9" s="21" t="s">
        <v>11</v>
      </c>
      <c r="K9" s="20" t="s">
        <v>14</v>
      </c>
    </row>
    <row r="10">
      <c r="B10" s="17">
        <v>2.0</v>
      </c>
      <c r="C10" s="18" t="s">
        <v>15</v>
      </c>
      <c r="D10" s="7"/>
      <c r="E10" s="23" t="s">
        <v>16</v>
      </c>
      <c r="F10" s="24" t="s">
        <v>17</v>
      </c>
      <c r="G10" s="23" t="s">
        <v>16</v>
      </c>
      <c r="I10" s="24" t="s">
        <v>18</v>
      </c>
      <c r="J10" s="23" t="s">
        <v>16</v>
      </c>
      <c r="K10" s="24" t="s">
        <v>19</v>
      </c>
    </row>
    <row r="11">
      <c r="B11" s="17">
        <v>3.0</v>
      </c>
      <c r="C11" s="18" t="s">
        <v>20</v>
      </c>
      <c r="D11" s="7"/>
      <c r="E11" s="19" t="s">
        <v>11</v>
      </c>
      <c r="F11" s="24" t="s">
        <v>21</v>
      </c>
      <c r="G11" s="21" t="s">
        <v>11</v>
      </c>
      <c r="I11" s="24" t="s">
        <v>22</v>
      </c>
      <c r="J11" s="21" t="s">
        <v>11</v>
      </c>
      <c r="K11" s="24" t="s">
        <v>23</v>
      </c>
    </row>
    <row r="12">
      <c r="B12" s="17">
        <v>4.0</v>
      </c>
      <c r="C12" s="18" t="s">
        <v>24</v>
      </c>
      <c r="D12" s="7"/>
      <c r="E12" s="23" t="s">
        <v>16</v>
      </c>
      <c r="F12" s="25" t="s">
        <v>25</v>
      </c>
      <c r="G12" s="23" t="s">
        <v>16</v>
      </c>
      <c r="I12" s="25" t="s">
        <v>26</v>
      </c>
      <c r="J12" s="23" t="s">
        <v>16</v>
      </c>
      <c r="K12" s="25" t="s">
        <v>27</v>
      </c>
    </row>
    <row r="13">
      <c r="B13" s="17">
        <v>5.0</v>
      </c>
      <c r="C13" s="18" t="s">
        <v>28</v>
      </c>
      <c r="D13" s="7"/>
      <c r="E13" s="19" t="s">
        <v>11</v>
      </c>
      <c r="F13" s="25" t="s">
        <v>29</v>
      </c>
      <c r="G13" s="21" t="s">
        <v>11</v>
      </c>
      <c r="I13" s="25" t="s">
        <v>30</v>
      </c>
      <c r="J13" s="21" t="s">
        <v>11</v>
      </c>
      <c r="K13" s="25" t="s">
        <v>31</v>
      </c>
    </row>
    <row r="14">
      <c r="B14" s="17">
        <v>6.0</v>
      </c>
      <c r="C14" s="18" t="s">
        <v>32</v>
      </c>
      <c r="D14" s="7"/>
      <c r="E14" s="19" t="s">
        <v>11</v>
      </c>
      <c r="F14" s="25" t="s">
        <v>33</v>
      </c>
      <c r="G14" s="21" t="s">
        <v>11</v>
      </c>
      <c r="I14" s="25" t="s">
        <v>34</v>
      </c>
      <c r="J14" s="21" t="s">
        <v>11</v>
      </c>
      <c r="K14" s="25" t="s">
        <v>35</v>
      </c>
    </row>
    <row r="15">
      <c r="B15" s="17">
        <v>7.0</v>
      </c>
      <c r="C15" s="26" t="s">
        <v>36</v>
      </c>
      <c r="D15" s="7"/>
      <c r="E15" s="27" t="s">
        <v>16</v>
      </c>
      <c r="F15" s="25" t="s">
        <v>37</v>
      </c>
      <c r="G15" s="23" t="s">
        <v>16</v>
      </c>
      <c r="I15" s="25" t="s">
        <v>38</v>
      </c>
      <c r="J15" s="23" t="s">
        <v>16</v>
      </c>
      <c r="K15" s="25" t="s">
        <v>39</v>
      </c>
    </row>
    <row r="16">
      <c r="B16" s="17">
        <v>8.0</v>
      </c>
      <c r="C16" s="26" t="s">
        <v>40</v>
      </c>
      <c r="D16" s="7"/>
      <c r="E16" s="27" t="s">
        <v>16</v>
      </c>
      <c r="F16" s="25" t="s">
        <v>41</v>
      </c>
      <c r="G16" s="23" t="s">
        <v>16</v>
      </c>
      <c r="I16" s="25" t="s">
        <v>42</v>
      </c>
      <c r="J16" s="23" t="s">
        <v>16</v>
      </c>
      <c r="K16" s="25" t="s">
        <v>43</v>
      </c>
    </row>
    <row r="17">
      <c r="B17" s="17">
        <v>9.0</v>
      </c>
      <c r="C17" s="26" t="s">
        <v>44</v>
      </c>
      <c r="D17" s="7"/>
      <c r="E17" s="19" t="s">
        <v>11</v>
      </c>
      <c r="F17" s="28" t="s">
        <v>45</v>
      </c>
      <c r="G17" s="21" t="s">
        <v>11</v>
      </c>
      <c r="I17" s="28" t="s">
        <v>46</v>
      </c>
      <c r="J17" s="21" t="s">
        <v>11</v>
      </c>
      <c r="K17" s="28" t="s">
        <v>47</v>
      </c>
    </row>
    <row r="18">
      <c r="B18" s="17">
        <v>10.0</v>
      </c>
      <c r="C18" s="26" t="s">
        <v>48</v>
      </c>
      <c r="D18" s="7"/>
      <c r="E18" s="19" t="s">
        <v>11</v>
      </c>
      <c r="F18" s="29" t="s">
        <v>49</v>
      </c>
      <c r="G18" s="21" t="s">
        <v>11</v>
      </c>
      <c r="I18" s="25" t="s">
        <v>50</v>
      </c>
      <c r="J18" s="21" t="s">
        <v>11</v>
      </c>
      <c r="K18" s="25" t="s">
        <v>51</v>
      </c>
    </row>
    <row r="19">
      <c r="B19" s="17">
        <v>11.0</v>
      </c>
      <c r="C19" s="26" t="s">
        <v>52</v>
      </c>
      <c r="D19" s="7"/>
      <c r="E19" s="19" t="s">
        <v>11</v>
      </c>
      <c r="F19" s="29" t="s">
        <v>53</v>
      </c>
      <c r="G19" s="21" t="s">
        <v>11</v>
      </c>
      <c r="I19" s="25" t="s">
        <v>54</v>
      </c>
      <c r="J19" s="21" t="s">
        <v>11</v>
      </c>
      <c r="K19" s="25" t="s">
        <v>55</v>
      </c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30"/>
      <c r="B1" s="31" t="s">
        <v>1</v>
      </c>
      <c r="C1" s="32" t="s">
        <v>56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4.25" customHeight="1">
      <c r="B2" s="33" t="s">
        <v>57</v>
      </c>
      <c r="C2" s="34" t="s">
        <v>58</v>
      </c>
    </row>
    <row r="3" ht="14.25" customHeight="1">
      <c r="B3" s="33" t="s">
        <v>59</v>
      </c>
      <c r="C3" s="34" t="s">
        <v>60</v>
      </c>
    </row>
    <row r="4" ht="14.25" customHeight="1">
      <c r="B4" s="33" t="s">
        <v>61</v>
      </c>
      <c r="C4" s="34" t="s">
        <v>62</v>
      </c>
    </row>
    <row r="5" ht="14.25" customHeight="1"/>
    <row r="6">
      <c r="A6" s="35" t="s">
        <v>63</v>
      </c>
    </row>
    <row r="7" ht="15.0" customHeight="1">
      <c r="A7" s="36" t="s">
        <v>64</v>
      </c>
      <c r="B7" s="37" t="s">
        <v>65</v>
      </c>
      <c r="C7" s="37" t="s">
        <v>66</v>
      </c>
      <c r="D7" s="38" t="s">
        <v>67</v>
      </c>
    </row>
    <row r="8" ht="14.25" customHeight="1">
      <c r="A8" s="39">
        <v>1.0</v>
      </c>
      <c r="B8" s="40" t="s">
        <v>68</v>
      </c>
      <c r="C8" s="41" t="s">
        <v>69</v>
      </c>
      <c r="D8" s="42"/>
    </row>
    <row r="9" ht="14.25" customHeight="1">
      <c r="A9" s="39">
        <v>2.0</v>
      </c>
      <c r="B9" s="40" t="s">
        <v>70</v>
      </c>
      <c r="C9" s="41"/>
      <c r="D9" s="43" t="s">
        <v>69</v>
      </c>
    </row>
    <row r="10" ht="14.25" customHeight="1">
      <c r="A10" s="39">
        <v>3.0</v>
      </c>
      <c r="B10" s="40" t="s">
        <v>71</v>
      </c>
      <c r="C10" s="41" t="s">
        <v>69</v>
      </c>
      <c r="D10" s="42"/>
    </row>
    <row r="11" ht="14.25" customHeight="1">
      <c r="A11" s="39">
        <v>4.0</v>
      </c>
      <c r="B11" s="40" t="s">
        <v>72</v>
      </c>
      <c r="C11" s="41" t="s">
        <v>69</v>
      </c>
      <c r="D11" s="42"/>
    </row>
    <row r="12" ht="14.25" customHeight="1">
      <c r="A12" s="39">
        <v>5.0</v>
      </c>
      <c r="B12" s="40" t="s">
        <v>73</v>
      </c>
      <c r="C12" s="41"/>
      <c r="D12" s="43" t="s">
        <v>69</v>
      </c>
    </row>
    <row r="13" ht="14.25" customHeight="1">
      <c r="A13" s="39">
        <v>6.0</v>
      </c>
      <c r="B13" s="40" t="s">
        <v>74</v>
      </c>
      <c r="C13" s="41" t="s">
        <v>69</v>
      </c>
      <c r="D13" s="42"/>
    </row>
    <row r="14" ht="14.25" customHeight="1">
      <c r="A14" s="39">
        <v>7.0</v>
      </c>
      <c r="B14" s="40" t="s">
        <v>75</v>
      </c>
      <c r="C14" s="41" t="s">
        <v>69</v>
      </c>
      <c r="D14" s="42"/>
    </row>
    <row r="15" ht="14.25" customHeight="1">
      <c r="A15" s="39">
        <v>8.0</v>
      </c>
      <c r="B15" s="40" t="s">
        <v>76</v>
      </c>
      <c r="C15" s="41" t="s">
        <v>69</v>
      </c>
      <c r="D15" s="42"/>
    </row>
    <row r="16" ht="14.25" customHeight="1">
      <c r="A16" s="44">
        <v>9.0</v>
      </c>
      <c r="B16" s="45" t="s">
        <v>77</v>
      </c>
      <c r="C16" s="46"/>
      <c r="D16" s="46" t="s">
        <v>69</v>
      </c>
    </row>
    <row r="17" ht="14.25" customHeight="1">
      <c r="A17" s="47" t="s">
        <v>78</v>
      </c>
      <c r="C17" s="22">
        <f>COUNTA('MODELO LISTA DE COMPROBACION - '!$C$8:$C$16)</f>
        <v>6</v>
      </c>
      <c r="D17" s="22">
        <f>COUNTA('MODELO LISTA DE COMPROBACION - '!$D$8:$D$16)</f>
        <v>3</v>
      </c>
    </row>
    <row r="18" ht="14.25" customHeight="1">
      <c r="A18" s="47" t="s">
        <v>79</v>
      </c>
      <c r="C18" s="48">
        <f t="shared" ref="C18:D18" si="1">C17/9</f>
        <v>0.6666666667</v>
      </c>
      <c r="D18" s="48">
        <f t="shared" si="1"/>
        <v>0.3333333333</v>
      </c>
    </row>
    <row r="19" ht="14.25" customHeight="1">
      <c r="A19" s="47"/>
      <c r="B19" s="47"/>
      <c r="C19" s="48"/>
      <c r="D19" s="22"/>
    </row>
    <row r="20">
      <c r="A20" s="49" t="s">
        <v>80</v>
      </c>
      <c r="B20" s="50"/>
      <c r="C20" s="50"/>
      <c r="D20" s="50"/>
    </row>
    <row r="21">
      <c r="A21" s="51" t="s">
        <v>64</v>
      </c>
      <c r="B21" s="52" t="s">
        <v>65</v>
      </c>
      <c r="C21" s="53" t="s">
        <v>66</v>
      </c>
      <c r="D21" s="54" t="s">
        <v>67</v>
      </c>
    </row>
    <row r="22" ht="14.25" customHeight="1">
      <c r="A22" s="39">
        <v>1.0</v>
      </c>
      <c r="B22" s="40" t="s">
        <v>81</v>
      </c>
      <c r="C22" s="55" t="s">
        <v>69</v>
      </c>
      <c r="D22" s="42"/>
    </row>
    <row r="23" ht="14.25" customHeight="1">
      <c r="A23" s="39">
        <v>2.0</v>
      </c>
      <c r="B23" s="40" t="s">
        <v>82</v>
      </c>
      <c r="C23" s="55" t="s">
        <v>69</v>
      </c>
      <c r="D23" s="42"/>
    </row>
    <row r="24" ht="14.25" customHeight="1">
      <c r="A24" s="39">
        <v>3.0</v>
      </c>
      <c r="B24" s="40" t="s">
        <v>83</v>
      </c>
      <c r="C24" s="55" t="s">
        <v>69</v>
      </c>
      <c r="D24" s="42"/>
    </row>
    <row r="25" ht="14.25" customHeight="1">
      <c r="A25" s="39">
        <v>4.0</v>
      </c>
      <c r="B25" s="40" t="s">
        <v>84</v>
      </c>
      <c r="C25" s="55" t="s">
        <v>69</v>
      </c>
      <c r="D25" s="42"/>
    </row>
    <row r="26" ht="14.25" customHeight="1">
      <c r="A26" s="44">
        <v>5.0</v>
      </c>
      <c r="B26" s="45" t="s">
        <v>85</v>
      </c>
      <c r="C26" s="46" t="s">
        <v>69</v>
      </c>
      <c r="D26" s="56"/>
      <c r="H26" s="57" t="s">
        <v>86</v>
      </c>
    </row>
    <row r="27" ht="14.25" customHeight="1">
      <c r="A27" s="47" t="s">
        <v>78</v>
      </c>
      <c r="C27" s="22">
        <f>COUNTA('MODELO LISTA DE COMPROBACION - '!$C$22:$C$26)</f>
        <v>5</v>
      </c>
      <c r="D27" s="22">
        <f>COUNTA('MODELO LISTA DE COMPROBACION - '!$D$22:$D$26)</f>
        <v>0</v>
      </c>
    </row>
    <row r="28" ht="14.25" customHeight="1">
      <c r="A28" s="47" t="s">
        <v>79</v>
      </c>
      <c r="C28" s="48">
        <f t="shared" ref="C28:D28" si="2">C27/5</f>
        <v>1</v>
      </c>
      <c r="D28" s="48">
        <f t="shared" si="2"/>
        <v>0</v>
      </c>
    </row>
    <row r="29" ht="14.25" customHeight="1">
      <c r="A29" s="47"/>
      <c r="B29" s="47"/>
      <c r="C29" s="48"/>
      <c r="D29" s="22"/>
    </row>
    <row r="30">
      <c r="A30" s="35" t="s">
        <v>87</v>
      </c>
    </row>
    <row r="31">
      <c r="A31" s="51" t="s">
        <v>64</v>
      </c>
      <c r="B31" s="52" t="s">
        <v>65</v>
      </c>
      <c r="C31" s="53" t="s">
        <v>66</v>
      </c>
      <c r="D31" s="54" t="s">
        <v>67</v>
      </c>
    </row>
    <row r="32" ht="14.25" customHeight="1">
      <c r="A32" s="39">
        <v>1.0</v>
      </c>
      <c r="B32" s="40" t="s">
        <v>88</v>
      </c>
      <c r="C32" s="55"/>
      <c r="D32" s="46" t="s">
        <v>69</v>
      </c>
    </row>
    <row r="33" ht="14.25" customHeight="1">
      <c r="A33" s="39">
        <v>2.0</v>
      </c>
      <c r="B33" s="40" t="s">
        <v>89</v>
      </c>
      <c r="C33" s="46" t="s">
        <v>69</v>
      </c>
      <c r="D33" s="46"/>
    </row>
    <row r="34" ht="14.25" customHeight="1">
      <c r="A34" s="44">
        <v>3.0</v>
      </c>
      <c r="B34" s="45" t="s">
        <v>90</v>
      </c>
      <c r="C34" s="55"/>
      <c r="D34" s="46" t="s">
        <v>69</v>
      </c>
    </row>
    <row r="35" ht="14.25" customHeight="1">
      <c r="A35" s="47" t="s">
        <v>78</v>
      </c>
      <c r="C35" s="22">
        <f>COUNTA('MODELO LISTA DE COMPROBACION - '!$C$32:$C$34)</f>
        <v>1</v>
      </c>
      <c r="D35" s="22">
        <f>COUNTA('MODELO LISTA DE COMPROBACION - '!$D$32:$D$34)</f>
        <v>2</v>
      </c>
    </row>
    <row r="36" ht="14.25" customHeight="1">
      <c r="A36" s="47" t="s">
        <v>79</v>
      </c>
      <c r="C36" s="48">
        <f t="shared" ref="C36:D36" si="3">C35/3</f>
        <v>0.3333333333</v>
      </c>
      <c r="D36" s="48">
        <f t="shared" si="3"/>
        <v>0.6666666667</v>
      </c>
    </row>
    <row r="37" ht="14.25" customHeight="1"/>
    <row r="38" ht="14.25" customHeight="1"/>
    <row r="39" ht="14.25" customHeight="1"/>
    <row r="40" ht="14.25" customHeight="1">
      <c r="A40" s="58" t="s">
        <v>91</v>
      </c>
    </row>
    <row r="41" ht="30.0" customHeight="1">
      <c r="B41" s="30" t="s">
        <v>92</v>
      </c>
      <c r="C41" s="59">
        <v>67.0</v>
      </c>
    </row>
    <row r="42" ht="30.0" customHeight="1">
      <c r="B42" s="30" t="s">
        <v>80</v>
      </c>
      <c r="C42" s="59">
        <v>100.0</v>
      </c>
    </row>
    <row r="43" ht="30.0" customHeight="1">
      <c r="B43" s="30" t="s">
        <v>87</v>
      </c>
      <c r="C43" s="59">
        <v>33.0</v>
      </c>
    </row>
    <row r="44" ht="14.25" customHeight="1">
      <c r="C44" s="22"/>
    </row>
    <row r="45" ht="14.25" customHeight="1">
      <c r="C45" s="22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scale="70" orientation="portrait"/>
  <drawing r:id="rId2"/>
  <legacy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30"/>
      <c r="B1" s="31" t="s">
        <v>1</v>
      </c>
      <c r="C1" s="32" t="s">
        <v>93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4.25" customHeight="1">
      <c r="B2" s="33" t="s">
        <v>57</v>
      </c>
      <c r="C2" s="34" t="s">
        <v>58</v>
      </c>
    </row>
    <row r="3" ht="14.25" customHeight="1">
      <c r="B3" s="33" t="s">
        <v>59</v>
      </c>
      <c r="C3" s="34" t="s">
        <v>94</v>
      </c>
    </row>
    <row r="4" ht="14.25" customHeight="1">
      <c r="B4" s="33" t="s">
        <v>61</v>
      </c>
      <c r="C4" s="34" t="s">
        <v>95</v>
      </c>
    </row>
    <row r="5" ht="14.25" customHeight="1"/>
    <row r="6">
      <c r="A6" s="35" t="s">
        <v>63</v>
      </c>
    </row>
    <row r="7" ht="15.0" customHeight="1">
      <c r="A7" s="36" t="s">
        <v>64</v>
      </c>
      <c r="B7" s="37" t="s">
        <v>65</v>
      </c>
      <c r="C7" s="37" t="s">
        <v>66</v>
      </c>
      <c r="D7" s="38" t="s">
        <v>67</v>
      </c>
    </row>
    <row r="8" ht="14.25" customHeight="1">
      <c r="A8" s="39">
        <v>1.0</v>
      </c>
      <c r="B8" s="40" t="s">
        <v>68</v>
      </c>
      <c r="C8" s="41" t="s">
        <v>69</v>
      </c>
      <c r="D8" s="42"/>
    </row>
    <row r="9" ht="14.25" customHeight="1">
      <c r="A9" s="39">
        <v>2.0</v>
      </c>
      <c r="B9" s="40" t="s">
        <v>70</v>
      </c>
      <c r="C9" s="41"/>
      <c r="D9" s="43" t="s">
        <v>96</v>
      </c>
    </row>
    <row r="10" ht="14.25" customHeight="1">
      <c r="A10" s="39">
        <v>3.0</v>
      </c>
      <c r="B10" s="40" t="s">
        <v>71</v>
      </c>
      <c r="C10" s="41" t="s">
        <v>69</v>
      </c>
      <c r="D10" s="42"/>
    </row>
    <row r="11" ht="14.25" customHeight="1">
      <c r="A11" s="39">
        <v>4.0</v>
      </c>
      <c r="B11" s="40" t="s">
        <v>72</v>
      </c>
      <c r="C11" s="41" t="s">
        <v>69</v>
      </c>
      <c r="D11" s="42"/>
    </row>
    <row r="12" ht="14.25" customHeight="1">
      <c r="A12" s="39">
        <v>5.0</v>
      </c>
      <c r="B12" s="40" t="s">
        <v>73</v>
      </c>
      <c r="C12" s="41"/>
      <c r="D12" s="43" t="s">
        <v>69</v>
      </c>
    </row>
    <row r="13" ht="14.25" customHeight="1">
      <c r="A13" s="39">
        <v>6.0</v>
      </c>
      <c r="B13" s="40" t="s">
        <v>74</v>
      </c>
      <c r="C13" s="41" t="s">
        <v>69</v>
      </c>
      <c r="D13" s="42"/>
    </row>
    <row r="14" ht="14.25" customHeight="1">
      <c r="A14" s="39">
        <v>7.0</v>
      </c>
      <c r="B14" s="40" t="s">
        <v>75</v>
      </c>
      <c r="C14" s="41" t="s">
        <v>69</v>
      </c>
      <c r="D14" s="42"/>
    </row>
    <row r="15" ht="14.25" customHeight="1">
      <c r="A15" s="39">
        <v>8.0</v>
      </c>
      <c r="B15" s="40" t="s">
        <v>76</v>
      </c>
      <c r="C15" s="41" t="s">
        <v>69</v>
      </c>
      <c r="D15" s="42"/>
    </row>
    <row r="16" ht="14.25" customHeight="1">
      <c r="A16" s="44">
        <v>9.0</v>
      </c>
      <c r="B16" s="45" t="s">
        <v>77</v>
      </c>
      <c r="C16" s="46" t="s">
        <v>69</v>
      </c>
      <c r="D16" s="55"/>
    </row>
    <row r="17" ht="14.25" customHeight="1">
      <c r="A17" s="47" t="s">
        <v>78</v>
      </c>
      <c r="C17" s="22">
        <f>COUNTA(Sheet1!$C$8:$C$16)</f>
        <v>7</v>
      </c>
      <c r="D17" s="22">
        <f>COUNTA(Sheet1!$D$8:$D$16)</f>
        <v>2</v>
      </c>
    </row>
    <row r="18" ht="14.25" customHeight="1">
      <c r="A18" s="47" t="s">
        <v>79</v>
      </c>
      <c r="C18" s="48">
        <f t="shared" ref="C18:D18" si="1">C17/9</f>
        <v>0.7777777778</v>
      </c>
      <c r="D18" s="48">
        <f t="shared" si="1"/>
        <v>0.2222222222</v>
      </c>
    </row>
    <row r="19" ht="14.25" customHeight="1">
      <c r="A19" s="47"/>
      <c r="B19" s="47"/>
      <c r="C19" s="48"/>
      <c r="D19" s="22"/>
    </row>
    <row r="20">
      <c r="A20" s="49" t="s">
        <v>80</v>
      </c>
      <c r="B20" s="50"/>
      <c r="C20" s="50"/>
      <c r="D20" s="50"/>
    </row>
    <row r="21" ht="14.25" customHeight="1">
      <c r="A21" s="51" t="s">
        <v>64</v>
      </c>
      <c r="B21" s="52" t="s">
        <v>65</v>
      </c>
      <c r="C21" s="53" t="s">
        <v>66</v>
      </c>
      <c r="D21" s="54" t="s">
        <v>67</v>
      </c>
    </row>
    <row r="22" ht="14.25" customHeight="1">
      <c r="A22" s="39">
        <v>1.0</v>
      </c>
      <c r="B22" s="40" t="s">
        <v>81</v>
      </c>
      <c r="C22" s="55" t="s">
        <v>69</v>
      </c>
      <c r="D22" s="42"/>
    </row>
    <row r="23" ht="14.25" customHeight="1">
      <c r="A23" s="39">
        <v>2.0</v>
      </c>
      <c r="B23" s="40" t="s">
        <v>82</v>
      </c>
      <c r="C23" s="55" t="s">
        <v>69</v>
      </c>
      <c r="D23" s="42"/>
    </row>
    <row r="24" ht="14.25" customHeight="1">
      <c r="A24" s="39">
        <v>3.0</v>
      </c>
      <c r="B24" s="40" t="s">
        <v>83</v>
      </c>
      <c r="C24" s="55" t="s">
        <v>69</v>
      </c>
      <c r="D24" s="42"/>
    </row>
    <row r="25" ht="14.25" customHeight="1">
      <c r="A25" s="39">
        <v>4.0</v>
      </c>
      <c r="B25" s="40" t="s">
        <v>84</v>
      </c>
      <c r="C25" s="55" t="s">
        <v>69</v>
      </c>
      <c r="D25" s="42"/>
    </row>
    <row r="26" ht="14.25" customHeight="1">
      <c r="A26" s="44">
        <v>5.0</v>
      </c>
      <c r="B26" s="45" t="s">
        <v>85</v>
      </c>
      <c r="C26" s="55" t="s">
        <v>69</v>
      </c>
      <c r="D26" s="60"/>
    </row>
    <row r="27" ht="14.25" customHeight="1">
      <c r="A27" s="47" t="s">
        <v>78</v>
      </c>
      <c r="C27" s="22">
        <f>COUNTA(Sheet1!$C$22:$C$26)</f>
        <v>5</v>
      </c>
      <c r="D27" s="22">
        <f>COUNTA(Sheet1!$D$22:$D$26)</f>
        <v>0</v>
      </c>
    </row>
    <row r="28" ht="14.25" customHeight="1">
      <c r="A28" s="47" t="s">
        <v>79</v>
      </c>
      <c r="C28" s="48">
        <f t="shared" ref="C28:D28" si="2">C27/5</f>
        <v>1</v>
      </c>
      <c r="D28" s="48">
        <f t="shared" si="2"/>
        <v>0</v>
      </c>
    </row>
    <row r="29" ht="14.25" customHeight="1">
      <c r="A29" s="47"/>
      <c r="B29" s="47"/>
      <c r="C29" s="48"/>
      <c r="D29" s="22"/>
    </row>
    <row r="30" ht="14.25" customHeight="1">
      <c r="A30" s="35" t="s">
        <v>87</v>
      </c>
    </row>
    <row r="31" ht="14.25" customHeight="1">
      <c r="A31" s="51" t="s">
        <v>64</v>
      </c>
      <c r="B31" s="52" t="s">
        <v>65</v>
      </c>
      <c r="C31" s="53" t="s">
        <v>66</v>
      </c>
      <c r="D31" s="54" t="s">
        <v>67</v>
      </c>
    </row>
    <row r="32" ht="14.25" customHeight="1">
      <c r="A32" s="39">
        <v>1.0</v>
      </c>
      <c r="B32" s="40" t="s">
        <v>88</v>
      </c>
      <c r="C32" s="55"/>
      <c r="D32" s="46" t="s">
        <v>69</v>
      </c>
    </row>
    <row r="33" ht="14.25" customHeight="1">
      <c r="A33" s="39">
        <v>2.0</v>
      </c>
      <c r="B33" s="40" t="s">
        <v>89</v>
      </c>
      <c r="C33" s="55" t="s">
        <v>69</v>
      </c>
      <c r="D33" s="55"/>
    </row>
    <row r="34" ht="14.25" customHeight="1">
      <c r="A34" s="44">
        <v>3.0</v>
      </c>
      <c r="B34" s="45" t="s">
        <v>90</v>
      </c>
      <c r="C34" s="55"/>
      <c r="D34" s="46" t="s">
        <v>69</v>
      </c>
    </row>
    <row r="35" ht="14.25" customHeight="1">
      <c r="A35" s="47" t="s">
        <v>78</v>
      </c>
      <c r="C35" s="22">
        <f>COUNTA(Sheet1!$C$32:$C$34)</f>
        <v>1</v>
      </c>
      <c r="D35" s="22">
        <f>COUNTA(Sheet1!$D$32:$D$34)</f>
        <v>2</v>
      </c>
    </row>
    <row r="36" ht="14.25" customHeight="1">
      <c r="A36" s="47" t="s">
        <v>79</v>
      </c>
      <c r="C36" s="48">
        <f t="shared" ref="C36:D36" si="3">C35/3</f>
        <v>0.3333333333</v>
      </c>
      <c r="D36" s="48">
        <f t="shared" si="3"/>
        <v>0.6666666667</v>
      </c>
    </row>
    <row r="37" ht="14.25" customHeight="1"/>
    <row r="38" ht="14.25" customHeight="1"/>
    <row r="39" ht="14.25" customHeight="1"/>
    <row r="40" ht="14.25" customHeight="1">
      <c r="A40" s="58" t="s">
        <v>91</v>
      </c>
    </row>
    <row r="41" ht="30.0" customHeight="1">
      <c r="B41" s="30" t="s">
        <v>92</v>
      </c>
      <c r="C41" s="59">
        <v>78.0</v>
      </c>
    </row>
    <row r="42" ht="30.0" customHeight="1">
      <c r="B42" s="30" t="s">
        <v>80</v>
      </c>
      <c r="C42" s="22">
        <v>100.0</v>
      </c>
    </row>
    <row r="43" ht="30.0" customHeight="1">
      <c r="B43" s="30" t="s">
        <v>87</v>
      </c>
      <c r="C43" s="59">
        <v>33.0</v>
      </c>
    </row>
    <row r="44" ht="14.25" customHeight="1">
      <c r="C44" s="22"/>
    </row>
    <row r="45" ht="14.25" customHeight="1">
      <c r="C45" s="22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30"/>
      <c r="B1" s="31" t="s">
        <v>1</v>
      </c>
      <c r="C1" s="32" t="s">
        <v>56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B2" s="33" t="s">
        <v>57</v>
      </c>
      <c r="C2" s="61">
        <v>46126.0</v>
      </c>
    </row>
    <row r="3">
      <c r="B3" s="33" t="s">
        <v>59</v>
      </c>
      <c r="C3" s="34" t="s">
        <v>97</v>
      </c>
    </row>
    <row r="4">
      <c r="B4" s="33" t="s">
        <v>61</v>
      </c>
      <c r="C4" s="34" t="s">
        <v>98</v>
      </c>
    </row>
    <row r="5" ht="14.25" customHeight="1"/>
    <row r="6">
      <c r="A6" s="35" t="s">
        <v>63</v>
      </c>
    </row>
    <row r="7">
      <c r="A7" s="36" t="s">
        <v>64</v>
      </c>
      <c r="B7" s="37" t="s">
        <v>65</v>
      </c>
      <c r="C7" s="37" t="s">
        <v>66</v>
      </c>
      <c r="D7" s="38" t="s">
        <v>67</v>
      </c>
    </row>
    <row r="8">
      <c r="A8" s="39">
        <v>1.0</v>
      </c>
      <c r="B8" s="40" t="s">
        <v>68</v>
      </c>
      <c r="C8" s="41" t="s">
        <v>69</v>
      </c>
      <c r="D8" s="42"/>
    </row>
    <row r="9">
      <c r="A9" s="39">
        <v>2.0</v>
      </c>
      <c r="B9" s="40" t="s">
        <v>70</v>
      </c>
      <c r="C9" s="41"/>
      <c r="D9" s="62" t="s">
        <v>69</v>
      </c>
    </row>
    <row r="10">
      <c r="A10" s="39">
        <v>3.0</v>
      </c>
      <c r="B10" s="63" t="s">
        <v>99</v>
      </c>
      <c r="C10" s="64"/>
      <c r="D10" s="62" t="s">
        <v>69</v>
      </c>
    </row>
    <row r="11">
      <c r="A11" s="39">
        <v>4.0</v>
      </c>
      <c r="B11" s="63" t="s">
        <v>100</v>
      </c>
      <c r="C11" s="41" t="s">
        <v>69</v>
      </c>
      <c r="D11" s="42"/>
    </row>
    <row r="12">
      <c r="A12" s="39">
        <v>5.0</v>
      </c>
      <c r="B12" s="40" t="s">
        <v>73</v>
      </c>
      <c r="C12" s="41" t="s">
        <v>69</v>
      </c>
      <c r="D12" s="42"/>
    </row>
    <row r="13">
      <c r="A13" s="39">
        <v>6.0</v>
      </c>
      <c r="B13" s="40" t="s">
        <v>74</v>
      </c>
      <c r="C13" s="41" t="s">
        <v>69</v>
      </c>
      <c r="D13" s="42"/>
    </row>
    <row r="14">
      <c r="A14" s="39">
        <v>7.0</v>
      </c>
      <c r="B14" s="40" t="s">
        <v>75</v>
      </c>
      <c r="C14" s="41" t="s">
        <v>69</v>
      </c>
      <c r="D14" s="42"/>
    </row>
    <row r="15">
      <c r="A15" s="39">
        <v>8.0</v>
      </c>
      <c r="B15" s="63" t="s">
        <v>101</v>
      </c>
      <c r="C15" s="41" t="s">
        <v>69</v>
      </c>
      <c r="D15" s="42"/>
    </row>
    <row r="16">
      <c r="A16" s="44">
        <v>9.0</v>
      </c>
      <c r="B16" s="45" t="s">
        <v>77</v>
      </c>
      <c r="C16" s="46"/>
      <c r="D16" s="46" t="s">
        <v>69</v>
      </c>
    </row>
    <row r="17" ht="14.25" customHeight="1">
      <c r="A17" s="47" t="s">
        <v>78</v>
      </c>
      <c r="C17" s="22">
        <f>COUNTA(Sheet2!$C$8:$C$16)</f>
        <v>6</v>
      </c>
      <c r="D17" s="22">
        <f>COUNTA(Sheet2!$D$8:$D$16)</f>
        <v>3</v>
      </c>
    </row>
    <row r="18" ht="14.25" customHeight="1">
      <c r="A18" s="47" t="s">
        <v>79</v>
      </c>
      <c r="C18" s="48">
        <f t="shared" ref="C18:D18" si="1">C17/9</f>
        <v>0.6666666667</v>
      </c>
      <c r="D18" s="48">
        <f t="shared" si="1"/>
        <v>0.3333333333</v>
      </c>
    </row>
    <row r="19" ht="14.25" customHeight="1">
      <c r="A19" s="47"/>
      <c r="B19" s="47"/>
      <c r="C19" s="48"/>
      <c r="D19" s="22"/>
    </row>
    <row r="20">
      <c r="A20" s="49" t="s">
        <v>80</v>
      </c>
      <c r="B20" s="50"/>
      <c r="C20" s="50"/>
      <c r="D20" s="50"/>
    </row>
    <row r="21">
      <c r="A21" s="51" t="s">
        <v>64</v>
      </c>
      <c r="B21" s="52" t="s">
        <v>65</v>
      </c>
      <c r="C21" s="53" t="s">
        <v>66</v>
      </c>
      <c r="D21" s="54" t="s">
        <v>67</v>
      </c>
    </row>
    <row r="22">
      <c r="A22" s="39">
        <v>1.0</v>
      </c>
      <c r="B22" s="40" t="s">
        <v>81</v>
      </c>
      <c r="C22" s="55" t="s">
        <v>69</v>
      </c>
      <c r="D22" s="42"/>
    </row>
    <row r="23">
      <c r="A23" s="39">
        <v>2.0</v>
      </c>
      <c r="B23" s="40" t="s">
        <v>82</v>
      </c>
      <c r="C23" s="55" t="s">
        <v>69</v>
      </c>
      <c r="D23" s="42"/>
    </row>
    <row r="24">
      <c r="A24" s="39">
        <v>3.0</v>
      </c>
      <c r="B24" s="40" t="s">
        <v>83</v>
      </c>
      <c r="C24" s="55" t="s">
        <v>69</v>
      </c>
      <c r="D24" s="42"/>
    </row>
    <row r="25">
      <c r="A25" s="39">
        <v>4.0</v>
      </c>
      <c r="B25" s="40" t="s">
        <v>84</v>
      </c>
      <c r="C25" s="46" t="s">
        <v>69</v>
      </c>
      <c r="D25" s="62"/>
    </row>
    <row r="26">
      <c r="A26" s="44">
        <v>5.0</v>
      </c>
      <c r="B26" s="45" t="s">
        <v>85</v>
      </c>
      <c r="C26" s="46"/>
      <c r="D26" s="65" t="s">
        <v>69</v>
      </c>
    </row>
    <row r="27" ht="14.25" customHeight="1">
      <c r="A27" s="47" t="s">
        <v>78</v>
      </c>
      <c r="C27" s="22">
        <f>COUNTA(Sheet2!$C$22:$C$26)</f>
        <v>4</v>
      </c>
      <c r="D27" s="22">
        <f>COUNTA(Sheet2!$D$22:$D$26)</f>
        <v>1</v>
      </c>
    </row>
    <row r="28" ht="14.25" customHeight="1">
      <c r="A28" s="47" t="s">
        <v>79</v>
      </c>
      <c r="C28" s="48">
        <f t="shared" ref="C28:D28" si="2">C27/5</f>
        <v>0.8</v>
      </c>
      <c r="D28" s="48">
        <f t="shared" si="2"/>
        <v>0.2</v>
      </c>
    </row>
    <row r="29" ht="14.25" customHeight="1">
      <c r="A29" s="47"/>
      <c r="B29" s="47"/>
      <c r="C29" s="48"/>
      <c r="D29" s="22"/>
    </row>
    <row r="30">
      <c r="A30" s="35" t="s">
        <v>87</v>
      </c>
    </row>
    <row r="31">
      <c r="A31" s="51" t="s">
        <v>64</v>
      </c>
      <c r="B31" s="52" t="s">
        <v>65</v>
      </c>
      <c r="C31" s="53" t="s">
        <v>66</v>
      </c>
      <c r="D31" s="54" t="s">
        <v>67</v>
      </c>
    </row>
    <row r="32">
      <c r="A32" s="39">
        <v>1.0</v>
      </c>
      <c r="B32" s="40" t="s">
        <v>88</v>
      </c>
      <c r="C32" s="46"/>
      <c r="D32" s="46" t="s">
        <v>69</v>
      </c>
    </row>
    <row r="33">
      <c r="A33" s="39">
        <v>2.0</v>
      </c>
      <c r="B33" s="40" t="s">
        <v>89</v>
      </c>
      <c r="C33" s="46" t="s">
        <v>69</v>
      </c>
      <c r="D33" s="66"/>
    </row>
    <row r="34">
      <c r="A34" s="44">
        <v>3.0</v>
      </c>
      <c r="B34" s="45" t="s">
        <v>90</v>
      </c>
      <c r="C34" s="46"/>
      <c r="D34" s="46" t="s">
        <v>69</v>
      </c>
    </row>
    <row r="35" ht="14.25" customHeight="1">
      <c r="A35" s="47" t="s">
        <v>78</v>
      </c>
      <c r="C35" s="22">
        <f>COUNTA(Sheet2!$C$32:$C$34)</f>
        <v>1</v>
      </c>
      <c r="D35" s="22">
        <f>COUNTA(Sheet2!$D$32:$D$34)</f>
        <v>2</v>
      </c>
    </row>
    <row r="36" ht="14.25" customHeight="1">
      <c r="A36" s="47" t="s">
        <v>79</v>
      </c>
      <c r="C36" s="48">
        <f t="shared" ref="C36:D36" si="3">C35/3</f>
        <v>0.3333333333</v>
      </c>
      <c r="D36" s="48">
        <f t="shared" si="3"/>
        <v>0.6666666667</v>
      </c>
    </row>
    <row r="37" ht="14.25" customHeight="1"/>
    <row r="38" ht="14.25" customHeight="1"/>
    <row r="39" ht="14.25" customHeight="1"/>
    <row r="40" ht="14.25" customHeight="1">
      <c r="A40" s="58" t="s">
        <v>91</v>
      </c>
    </row>
    <row r="41" ht="30.0" customHeight="1">
      <c r="B41" s="30" t="s">
        <v>92</v>
      </c>
      <c r="C41" s="59">
        <v>67.0</v>
      </c>
    </row>
    <row r="42" ht="30.0" customHeight="1">
      <c r="B42" s="30" t="s">
        <v>80</v>
      </c>
      <c r="C42" s="59">
        <v>80.0</v>
      </c>
    </row>
    <row r="43" ht="30.0" customHeight="1">
      <c r="B43" s="30" t="s">
        <v>87</v>
      </c>
      <c r="C43" s="59">
        <v>33.0</v>
      </c>
    </row>
    <row r="44" ht="14.25" customHeight="1">
      <c r="C44" s="22"/>
    </row>
    <row r="45" ht="14.25" customHeight="1">
      <c r="C45" s="22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67" t="s">
        <v>102</v>
      </c>
      <c r="B1" s="67" t="s">
        <v>103</v>
      </c>
    </row>
    <row r="2">
      <c r="A2" s="68" t="s">
        <v>104</v>
      </c>
      <c r="B2" s="69" t="s">
        <v>105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>
      <c r="A3" s="13" t="s">
        <v>106</v>
      </c>
      <c r="B3" s="69" t="s">
        <v>107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orientation="portrait" paperHeight="17.716535433070863in" paperWidth="15.748031496062993i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67" t="s">
        <v>102</v>
      </c>
      <c r="B1" s="67" t="s">
        <v>103</v>
      </c>
    </row>
    <row r="2">
      <c r="A2" s="68" t="s">
        <v>104</v>
      </c>
      <c r="B2" s="69" t="s">
        <v>108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>
      <c r="A3" s="13" t="s">
        <v>106</v>
      </c>
      <c r="B3" s="69" t="s">
        <v>109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67" t="s">
        <v>102</v>
      </c>
      <c r="B1" s="67" t="s">
        <v>103</v>
      </c>
    </row>
    <row r="2">
      <c r="A2" s="68" t="s">
        <v>104</v>
      </c>
      <c r="B2" s="69" t="s">
        <v>110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>
      <c r="A3" s="13" t="s">
        <v>106</v>
      </c>
      <c r="B3" s="69" t="s">
        <v>107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2026-04-14T13:46:44Z</dcterms:created>
  <dc:creator>DYNABOOK</dc:creator>
</cp:coreProperties>
</file>