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versidad\6to Semestre\Analisis y Diseño de SW\Repo\30723_G-_ADSW\PRIMER PARCIAL\Talleres\"/>
    </mc:Choice>
  </mc:AlternateContent>
  <xr:revisionPtr revIDLastSave="0" documentId="13_ncr:1_{65609946-8262-4DC0-BDD5-30C61E6E2DDB}" xr6:coauthVersionLast="47" xr6:coauthVersionMax="47" xr10:uidLastSave="{00000000-0000-0000-0000-000000000000}"/>
  <bookViews>
    <workbookView xWindow="25017" yWindow="-118" windowWidth="18118" windowHeight="9583" firstSheet="1" activeTab="2" xr2:uid="{00000000-000D-0000-FFFF-FFFF00000000}"/>
  </bookViews>
  <sheets>
    <sheet name="Matriz Ckeck LIst" sheetId="1" r:id="rId1"/>
    <sheet name="MODELO LISTA DE COMPROBACION - " sheetId="2" r:id="rId2"/>
    <sheet name="Sheet1" sheetId="3" r:id="rId3"/>
    <sheet name="Sheet2" sheetId="4" r:id="rId4"/>
    <sheet name="RECOMENDACIONES - CU03" sheetId="5" r:id="rId5"/>
    <sheet name="RECOMENDACIONES - CU04" sheetId="6" r:id="rId6"/>
    <sheet name="RECOMENDACIONES - CU0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6gHsPjv1N90kAcwDvwo1tRE9Adry+/GbkPw5dbW6gk="/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7" i="4"/>
  <c r="D28" i="4" s="1"/>
  <c r="C27" i="4"/>
  <c r="C28" i="4" s="1"/>
  <c r="D17" i="4"/>
  <c r="D18" i="4" s="1"/>
  <c r="C17" i="4"/>
  <c r="C18" i="4" s="1"/>
  <c r="D35" i="3"/>
  <c r="D36" i="3" s="1"/>
  <c r="C35" i="3"/>
  <c r="C36" i="3" s="1"/>
  <c r="D27" i="3"/>
  <c r="D28" i="3" s="1"/>
  <c r="C27" i="3"/>
  <c r="C28" i="3" s="1"/>
  <c r="D17" i="3"/>
  <c r="D18" i="3" s="1"/>
  <c r="C17" i="3"/>
  <c r="C18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ID#AAAB3REp870
jeny ruiz    (2026-04-14 14:34:54)
Control del nivel de acuedo entre las partes Cliente y Desarrollador</t>
        </r>
      </text>
    </comment>
    <comment ref="F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ID#AAAB3REp89A
jeny ruiz    (2026-04-14 14:34:54)
La información contenida en memoria se utiliza para actualizar los campos de la base de datos.</t>
        </r>
      </text>
    </comment>
    <comment ref="I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ID#AAAB3REp884
jeny ruiz    (2026-04-14 14:34:54)
Se guarda en un archivo Excel los registros que dieron un problema en la actualización.</t>
        </r>
      </text>
    </comment>
    <comment ref="J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ID#AAAB3REp87o
jeny ruiz    (2026-04-14 14:34:54)
Control del nivel de acuedo entre las partes Cliente y Desarrollador</t>
        </r>
      </text>
    </comment>
    <comment ref="K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ID#AAAB3REp88E
jeny ruiz    (2026-04-14 14:34:54)
jeny ruiz:
Posterior a la actualización, se guardaran automáticamente el nombre de usuario, fecha, hora, registro antiguo, registro nuevo.</t>
        </r>
      </text>
    </comment>
    <comment ref="C9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ID#AAAB3REp87c
jeny ruiz    (2026-04-14 14:34:54)
Todos los interesados reconocen que el  requisito es correcto y relevante</t>
        </r>
      </text>
    </comment>
    <comment ref="I9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ID#AAAB3REp88I
jeny ruiz    (2026-04-14 14:34:54)
Es importante ingresar el archivo plano en formato excel para el cliente y el desarrollador</t>
        </r>
      </text>
    </comment>
    <comment ref="K9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ID#AAAB3REp874
jeny ruiz    (2026-04-14 14:34:54)
Es importante ingresar el archivo plano en formato excel para el cliente y el desarrollador</t>
        </r>
      </text>
    </comment>
    <comment ref="C10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ID#AAAB3REp878
jeny ruiz    (2026-04-14 14:34:54)
Ponderado por importancia o prioridad</t>
        </r>
      </text>
    </comment>
    <comment ref="C1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ID#AAAB3REp88o
jeny ruiz    (2026-04-14 14:34:54)
Todos los lectores comprenden de la misma manera, sólo una interpretación</t>
        </r>
      </text>
    </comment>
    <comment ref="C12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ID#AAAB3REp88U
jeny ruiz    (2026-04-14 14:34:54)
Toda nueva información  ha sido incorporada</t>
        </r>
      </text>
    </comment>
    <comment ref="C13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ID#AAAB3REp88c
jeny ruiz    (2026-04-14 14:34:54)
Refleja las espectativas  del implicado</t>
        </r>
      </text>
    </comment>
    <comment ref="C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ID#AAAB3REp89E
jeny ruiz    (2026-04-14 14:34:54)
Sin contradicciones</t>
        </r>
      </text>
    </comment>
    <comment ref="C15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ID#AAAB3REp87w
jeny ruiz    (2026-04-14 14:34:54)
Su cumplimiento o no cumplimiento puede der probado con un esfuerzo razonable</t>
        </r>
      </text>
    </comment>
    <comment ref="C16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ID#AAAB3REp88k
jeny ruiz    (2026-04-14 14:34:54)
Puede ser implementado  y desarrollado en las condiciones actuales(tiempo, Presupuest,, orgtanizaciòn, ect)</t>
        </r>
      </text>
    </comment>
    <comment ref="C1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ID#AAAB3REp88A
jeny ruiz    (2026-04-14 14:34:54)
El origen del requisito y sus relaciones con otros requisitos  están claros.</t>
        </r>
      </text>
    </comment>
    <comment ref="C18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ID#AAAB3REp87k
jeny ruiz    (2026-04-14 14:34:54)
Trata todos los asuntos relevantes</t>
        </r>
      </text>
    </comment>
    <comment ref="C1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ID#AAAB3REp88Q
jeny ruiz    (2026-04-14 14:34:54)
Para todos los interesados dependiendo  de la fase del proyecto podrían estar involucrados  distintos implicados,(Glosario de tèrminos)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GCFuzsFVLzUlm1AWzrYBfsSrX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ID#AAAB3REp888
ESPE    (2026-04-14 14:34:54)
COMPLETITUD DOCUMENTO</t>
        </r>
      </text>
    </comment>
    <comment ref="B9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ID#AAAB3REp87g
ESPE    (2026-04-14 14:34:54)
COMPLETITUD REQUISITO INDIVIDUAL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ID#AAAB3REp88s
ESPE    (2026-04-14 14:34:54)
TRAZABILIDAD</t>
        </r>
      </text>
    </comment>
    <comment ref="B1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ID#AAAB3REp89I
ESPE    (2026-04-14 14:34:54)
trazabilidad</t>
        </r>
      </text>
    </comment>
    <comment ref="B12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ID#AAAB3REp87Y
ESPE    (2026-04-14 14:34:54)
TRAZABILIDAD</t>
        </r>
      </text>
    </comment>
    <comment ref="B13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ID#AAAB3REp88M
ESPE    (2026-04-14 14:34:54)
CORRECCION</t>
        </r>
      </text>
    </comment>
    <comment ref="B1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ID#AAAB3REp88w
ESPE    (2026-04-14 14:34:54)
CONSISTENCIA</t>
        </r>
      </text>
    </comment>
    <comment ref="B15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ID#AAAB3REp88Y
ESPE    (2026-04-14 14:34:54)
NECESIDAD</t>
        </r>
      </text>
    </comment>
    <comment ref="B16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ID#AAAB3REp88g
ESPE    (2026-04-14 14:34:54)
verificable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xTSdLZskQ8Q9eBh5XicN8H7OvA=="/>
    </ext>
  </extLst>
</comments>
</file>

<file path=xl/sharedStrings.xml><?xml version="1.0" encoding="utf-8"?>
<sst xmlns="http://schemas.openxmlformats.org/spreadsheetml/2006/main" count="306" uniqueCount="111">
  <si>
    <t>MATRIZ PARA COMPROBACIÓN REQUERIMIENTOS DE CALIDAD DE PROYECTO ACADEMICO</t>
  </si>
  <si>
    <t>SISTEMA:</t>
  </si>
  <si>
    <t>SISTEMA DE GESTIÓN DE CITAS FISIOTERAPÉUTICAS (FI-CITAS)</t>
  </si>
  <si>
    <t>Requerimientos  Funcionales</t>
  </si>
  <si>
    <t>Nº</t>
  </si>
  <si>
    <t>CRITERIOS DE CALIDAD (Documento/Requerimientos)</t>
  </si>
  <si>
    <t>Status
Nivel de Acuerdo</t>
  </si>
  <si>
    <t xml:space="preserve">
CU05 Gestionar Perfiles
</t>
  </si>
  <si>
    <t>CU04 Gestionar Paciente</t>
  </si>
  <si>
    <t>CU03 Gestionar Cita</t>
  </si>
  <si>
    <t>Agreed</t>
  </si>
  <si>
    <t>OK</t>
  </si>
  <si>
    <t>1. Acuerdo mediante entrevista y documentado a través de minuta de la videoconferencia.</t>
  </si>
  <si>
    <t xml:space="preserve">1. Aceptación por videoconferencia. </t>
  </si>
  <si>
    <t>1. Acuerdo mediante entrevista documentada en la minuta</t>
  </si>
  <si>
    <t>Ranked</t>
  </si>
  <si>
    <t>NOK</t>
  </si>
  <si>
    <t>1. En la descripción del caso de Uso se especifica su prioridad, la cual es primaria, pero la ennumeración es inadecuada.</t>
  </si>
  <si>
    <t xml:space="preserve">1. Se especifica tipo primario, pero la priorización es inadecuada. </t>
  </si>
  <si>
    <t>1. En el tipo de Caso de Uso se especifica que es primario o de alta prioridad, pero no se ve reflejado en la numeración.</t>
  </si>
  <si>
    <t>Unambiguos</t>
  </si>
  <si>
    <t>1.  Redacción clara para la interpretación.</t>
  </si>
  <si>
    <t>1. Interpretación uniforme.                                2. Redacción clara.</t>
  </si>
  <si>
    <t>1. Redacción clara y uniforme.                     2. Se coincide en la interpretación del requisito</t>
  </si>
  <si>
    <t>Valid and up-to date</t>
  </si>
  <si>
    <t>1. Observaciones y correciones desde la última versión no han sido implementadas.</t>
  </si>
  <si>
    <t>1. La última versión del requisito no fue verificada con el cliente.                               2. Correcciones no implementadas</t>
  </si>
  <si>
    <t>Correct</t>
  </si>
  <si>
    <t>1. Refleja las necesidades del cliente en el manejo de diferentes roles de perfil.</t>
  </si>
  <si>
    <t xml:space="preserve">1. Coincide con las necesidades del cliente. </t>
  </si>
  <si>
    <t>1. Refleja exitosamente las necesidades del cliente con respecto a la gestión de citas del centro fisioterapéutico, que corresponde a la principal intención del sistema.</t>
  </si>
  <si>
    <t>Consisten</t>
  </si>
  <si>
    <t>1. La gestión de perfiles es un requisito sacado directamente de los diagramas de casos de uso y está conectada con otros casos de uso y conceptos predefinidos sin contradecirlos .</t>
  </si>
  <si>
    <t xml:space="preserve">1. Flujo consistente en la redacción. No hay contradicciones. </t>
  </si>
  <si>
    <t>1. No existen contradicciones en la redacción ni en los diagramas planteados</t>
  </si>
  <si>
    <t>Verifiable</t>
  </si>
  <si>
    <t>1. El requisito no es medible
2.  Falta Casos de Prueba</t>
  </si>
  <si>
    <t xml:space="preserve">1. Carece de Casos de Prueba que permitan verificarlo.                                                                               2. Faltan aspectos medibles específicos. </t>
  </si>
  <si>
    <t>1. No se establecen criterios de medición, tampoco Casos de Prueba</t>
  </si>
  <si>
    <t>Realizable</t>
  </si>
  <si>
    <t>1. Funcionalidad no está tomada en cuenta dentro de la estimación del costo del proyecto
2. No se ha desarrollado</t>
  </si>
  <si>
    <t xml:space="preserve">1. No puede ser implementado actualmente por cuestiones de presupuesto, cliente y equipo. </t>
  </si>
  <si>
    <t>1.  No es posible implementarlo bajo las condiciones actuales limitadas respecto al presupuesto y cliente.</t>
  </si>
  <si>
    <t>Traceable</t>
  </si>
  <si>
    <t>1. Es claro el origen del requisito y su relación con otros requisitos mediante la matriz de trazabilidad.
2. Cuenta con un identificador único</t>
  </si>
  <si>
    <t xml:space="preserve">1. Existe Matriz de Trazabilidad que deja claro el origen y relaciones del requisito. </t>
  </si>
  <si>
    <t>1. El origen del requisito es claro y se ve reflejado en la matriz de trazabilidad, así como las relaciones que mantiene con otros requisitos.                                             2. Tiene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</si>
  <si>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</si>
  <si>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</si>
  <si>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 xml:space="preserve">1. Presenta descripción, actor, precondición, secuencia normal, postcondición, excepciones, versión y comentarios. </t>
  </si>
  <si>
    <t>1. Se abarcan los elementos necesarios y completos para comprender el requisito de forma clara.</t>
  </si>
  <si>
    <t>Understandability</t>
  </si>
  <si>
    <t>1. Se involucra al cliente
2. Existe glosario de términos</t>
  </si>
  <si>
    <t>1. Entendible para todos los implicados.                                  2. Glosario de términos claro.</t>
  </si>
  <si>
    <t>1. Comprensible para personal involucrado en el proyecto (existe un glosario de términos).</t>
  </si>
  <si>
    <t>Sistema De Gestión Citas Fisioterapéuticas Fi-Citas</t>
  </si>
  <si>
    <t>FECHA:</t>
  </si>
  <si>
    <t>14-Abril-2026</t>
  </si>
  <si>
    <t>AUTOR:</t>
  </si>
  <si>
    <t>Doménica Villagómez</t>
  </si>
  <si>
    <t>REQUERIMIENTOS EVALUADOS :</t>
  </si>
  <si>
    <t>CU03 Gestionar Citas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</si>
  <si>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</si>
  <si>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</si>
  <si>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</si>
  <si>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</si>
  <si>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</si>
  <si>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</si>
  <si>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</si>
  <si>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</si>
  <si>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</si>
  <si>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</si>
  <si>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</si>
  <si>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</si>
  <si>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</si>
  <si>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</si>
  <si>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</si>
  <si>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</si>
  <si>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</si>
  <si>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</si>
  <si>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</si>
  <si>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</si>
  <si>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</si>
  <si>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</si>
  <si>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</si>
  <si>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x</t>
  </si>
  <si>
    <t>*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</si>
  <si>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</si>
  <si>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</si>
  <si>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</si>
  <si>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</si>
  <si>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</si>
  <si>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</si>
  <si>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Sistema De Gestión De Citas (FI-CITAS)</t>
  </si>
  <si>
    <t>Saray Adriana Cañarte Galarza</t>
  </si>
  <si>
    <t>CU04. Gestionar Paciente</t>
  </si>
  <si>
    <t>Danny Mateo Ayuquina Navas</t>
  </si>
  <si>
    <t>CU05 Gestión de Perfiles</t>
  </si>
  <si>
    <t>Existe algún mecanismo que permita seguir el impacto de dicho requerimiento a lo largo del resto de las actividades del ciclo productivo.?</t>
  </si>
  <si>
    <t>El origen de cada requerimento individual está claro?</t>
  </si>
  <si>
    <t>El requerimiento que se esta especificando contribuye a alcanzar un objetivo definido?</t>
  </si>
  <si>
    <t>PREGUNTA</t>
  </si>
  <si>
    <t>RECOMENDACIÓN</t>
  </si>
  <si>
    <t>¿Se han validado y aprobado formalmente todos los entregables de la entrevista (videoconferencia, minuta, acta de aceptación)?</t>
  </si>
  <si>
    <t xml:space="preserve">Validar con el cliente la versión final documentada y respaldarla con un Acta de Reunión firmada. Previo a este proceso realizar las correcciones de la última versión y priorizar adecuadamente. </t>
  </si>
  <si>
    <t>¿Se han definido criterios de aceptación y casos de prueba
 que permitan medir objetivamente el cumplimiento del 
requisito?</t>
  </si>
  <si>
    <t xml:space="preserve">Definir criterios de aceptación basado en escenarios (BDD/Gherkin) y basado en reglas. Diseñar y elaborar casos de prueba para asociarlos a pruebas unitarias automatizadas. </t>
  </si>
  <si>
    <t>En primera instancia, se deben realizar las respectivas correcciones dadas y mejorar la priorización de requisitos. Validar con el cliente la versión final documentada y respaldarla con el SRS firmado por los implicados.</t>
  </si>
  <si>
    <t>Se deben definir criterios de aceptación basado en escenarios (BDD/Gherkin) y basado en reglas. Diseñar y elaborar casos de prueba.</t>
  </si>
  <si>
    <t>Tomar en cuenta que la última versión de la Gestión de Perfiles necesito de correcciones, por lo cual estaría validada por la cliente.</t>
  </si>
  <si>
    <t>1. La última versión del requisito no fue validada ni aprobada por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</si>
</sst>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8" fillId="0" borderId="0" xfId="0" applyFont="1"/>
    <xf numFmtId="0" fontId="10" fillId="5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3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9" fontId="8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5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4" fillId="0" borderId="16" xfId="0" applyFont="1" applyBorder="1" applyAlignment="1">
      <alignment horizontal="center" vertical="center"/>
    </xf>
    <xf numFmtId="0" fontId="5" fillId="0" borderId="16" xfId="0" applyFont="1" applyBorder="1"/>
    <xf numFmtId="15" fontId="13" fillId="0" borderId="0" xfId="0" applyNumberFormat="1" applyFont="1" applyAlignment="1">
      <alignment horizontal="left" wrapText="1"/>
    </xf>
    <xf numFmtId="0" fontId="1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Sheet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Sheet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Sheet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Sheet2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Sheet2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Sheet2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51E-449E-9E59-0C17D7140B3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51E-449E-9E59-0C17D7140B3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51E-449E-9E59-0C17D7140B3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78</c:v>
                </c:pt>
                <c:pt idx="1">
                  <c:v>80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E-449E-9E59-0C17D7140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F19-4432-BDAE-6E5EE6B160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F19-4432-BDAE-6E5EE6B1606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F19-4432-BDAE-6E5EE6B1606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Sheet1!$C$41:$C$43</c:f>
              <c:numCache>
                <c:formatCode>General</c:formatCode>
                <c:ptCount val="3"/>
                <c:pt idx="0">
                  <c:v>78</c:v>
                </c:pt>
                <c:pt idx="1">
                  <c:v>100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19-4432-BDAE-6E5EE6B1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58F-4799-B6FC-A58A02C6C70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58F-4799-B6FC-A58A02C6C70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58F-4799-B6FC-A58A02C6C70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Sheet2!$B$41:$B$43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Sheet2!$C$41:$C$43</c:f>
              <c:numCache>
                <c:formatCode>General</c:formatCode>
                <c:ptCount val="3"/>
                <c:pt idx="0">
                  <c:v>67</c:v>
                </c:pt>
                <c:pt idx="1">
                  <c:v>80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8F-4799-B6FC-A58A02C6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85324767" name="Chart 1">
          <a:extLst>
            <a:ext uri="{FF2B5EF4-FFF2-40B4-BE49-F238E27FC236}">
              <a16:creationId xmlns:a16="http://schemas.microsoft.com/office/drawing/2014/main" id="{00000000-0008-0000-0100-0000DFD40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11248052" name="Chart 2">
          <a:extLst>
            <a:ext uri="{FF2B5EF4-FFF2-40B4-BE49-F238E27FC236}">
              <a16:creationId xmlns:a16="http://schemas.microsoft.com/office/drawing/2014/main" id="{00000000-0008-0000-0200-0000B482A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1730257901" name="Chart 3">
          <a:extLst>
            <a:ext uri="{FF2B5EF4-FFF2-40B4-BE49-F238E27FC236}">
              <a16:creationId xmlns:a16="http://schemas.microsoft.com/office/drawing/2014/main" id="{00000000-0008-0000-0300-0000EDA32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Sheet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Sheet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Sheet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Sheet2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Sheet2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Sheet2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8" zoomScale="70" zoomScaleNormal="70" workbookViewId="0">
      <selection activeCell="F12" sqref="F12"/>
    </sheetView>
  </sheetViews>
  <sheetFormatPr defaultColWidth="14.44140625" defaultRowHeight="15.0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39.55468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29.95" customHeight="1" x14ac:dyDescent="0.3">
      <c r="C3" s="42" t="s">
        <v>0</v>
      </c>
      <c r="D3" s="43"/>
      <c r="E3" s="43"/>
      <c r="F3" s="43"/>
      <c r="G3" s="43"/>
      <c r="H3" s="43"/>
      <c r="I3" s="43"/>
      <c r="J3" s="43"/>
      <c r="K3" s="43"/>
    </row>
    <row r="4" spans="2:11" ht="29.95" customHeight="1" x14ac:dyDescent="0.3">
      <c r="C4" s="43"/>
      <c r="D4" s="43"/>
      <c r="E4" s="43"/>
      <c r="F4" s="43"/>
      <c r="G4" s="43"/>
      <c r="H4" s="43"/>
      <c r="I4" s="43"/>
      <c r="J4" s="43"/>
      <c r="K4" s="43"/>
    </row>
    <row r="5" spans="2:11" ht="29.95" customHeight="1" x14ac:dyDescent="0.3">
      <c r="C5" s="2"/>
      <c r="D5" s="3" t="s">
        <v>1</v>
      </c>
      <c r="E5" s="44" t="s">
        <v>2</v>
      </c>
      <c r="F5" s="43"/>
      <c r="G5" s="43"/>
      <c r="H5" s="43"/>
      <c r="I5" s="43"/>
      <c r="J5" s="43"/>
      <c r="K5" s="43"/>
    </row>
    <row r="6" spans="2:11" ht="55.5" customHeight="1" x14ac:dyDescent="0.3">
      <c r="C6" s="1"/>
      <c r="F6" s="45" t="s">
        <v>3</v>
      </c>
      <c r="G6" s="46"/>
      <c r="H6" s="46"/>
      <c r="I6" s="46"/>
      <c r="J6" s="46"/>
      <c r="K6" s="47"/>
    </row>
    <row r="7" spans="2:11" ht="45" customHeight="1" x14ac:dyDescent="0.3">
      <c r="B7" s="41" t="s">
        <v>4</v>
      </c>
      <c r="C7" s="48" t="s">
        <v>5</v>
      </c>
      <c r="D7" s="49"/>
      <c r="E7" s="39" t="s">
        <v>6</v>
      </c>
      <c r="F7" s="41" t="s">
        <v>7</v>
      </c>
      <c r="G7" s="39"/>
      <c r="H7" s="4"/>
      <c r="I7" s="41" t="s">
        <v>8</v>
      </c>
      <c r="J7" s="39"/>
      <c r="K7" s="41" t="s">
        <v>9</v>
      </c>
    </row>
    <row r="8" spans="2:11" ht="60.05" customHeight="1" x14ac:dyDescent="0.3">
      <c r="B8" s="40"/>
      <c r="C8" s="50"/>
      <c r="D8" s="51"/>
      <c r="E8" s="40"/>
      <c r="F8" s="40"/>
      <c r="G8" s="40"/>
      <c r="H8" s="4"/>
      <c r="I8" s="40"/>
      <c r="J8" s="40"/>
      <c r="K8" s="40"/>
    </row>
    <row r="9" spans="2:11" ht="31.45" x14ac:dyDescent="0.3">
      <c r="B9" s="5">
        <v>1</v>
      </c>
      <c r="C9" s="52" t="s">
        <v>10</v>
      </c>
      <c r="D9" s="47"/>
      <c r="E9" s="6" t="s">
        <v>11</v>
      </c>
      <c r="F9" s="7" t="s">
        <v>12</v>
      </c>
      <c r="G9" s="6" t="s">
        <v>11</v>
      </c>
      <c r="H9" s="8"/>
      <c r="I9" s="7" t="s">
        <v>13</v>
      </c>
      <c r="J9" s="6" t="s">
        <v>11</v>
      </c>
      <c r="K9" s="7" t="s">
        <v>14</v>
      </c>
    </row>
    <row r="10" spans="2:11" ht="47.15" x14ac:dyDescent="0.3">
      <c r="B10" s="5">
        <v>2</v>
      </c>
      <c r="C10" s="52" t="s">
        <v>15</v>
      </c>
      <c r="D10" s="47"/>
      <c r="E10" s="9" t="s">
        <v>16</v>
      </c>
      <c r="F10" s="10" t="s">
        <v>17</v>
      </c>
      <c r="G10" s="9" t="s">
        <v>16</v>
      </c>
      <c r="I10" s="10" t="s">
        <v>18</v>
      </c>
      <c r="J10" s="9" t="s">
        <v>16</v>
      </c>
      <c r="K10" s="10" t="s">
        <v>19</v>
      </c>
    </row>
    <row r="11" spans="2:11" ht="31.45" x14ac:dyDescent="0.3">
      <c r="B11" s="5">
        <v>3</v>
      </c>
      <c r="C11" s="52" t="s">
        <v>20</v>
      </c>
      <c r="D11" s="47"/>
      <c r="E11" s="6" t="s">
        <v>11</v>
      </c>
      <c r="F11" s="10" t="s">
        <v>21</v>
      </c>
      <c r="G11" s="6" t="s">
        <v>11</v>
      </c>
      <c r="I11" s="10" t="s">
        <v>22</v>
      </c>
      <c r="J11" s="6" t="s">
        <v>11</v>
      </c>
      <c r="K11" s="10" t="s">
        <v>23</v>
      </c>
    </row>
    <row r="12" spans="2:11" ht="47.15" x14ac:dyDescent="0.3">
      <c r="B12" s="5">
        <v>4</v>
      </c>
      <c r="C12" s="52" t="s">
        <v>24</v>
      </c>
      <c r="D12" s="47"/>
      <c r="E12" s="9" t="s">
        <v>16</v>
      </c>
      <c r="F12" s="11" t="s">
        <v>110</v>
      </c>
      <c r="G12" s="9" t="s">
        <v>16</v>
      </c>
      <c r="I12" s="11" t="s">
        <v>25</v>
      </c>
      <c r="J12" s="9" t="s">
        <v>16</v>
      </c>
      <c r="K12" s="11" t="s">
        <v>26</v>
      </c>
    </row>
    <row r="13" spans="2:11" ht="62.85" x14ac:dyDescent="0.3">
      <c r="B13" s="5">
        <v>5</v>
      </c>
      <c r="C13" s="52" t="s">
        <v>27</v>
      </c>
      <c r="D13" s="47"/>
      <c r="E13" s="6" t="s">
        <v>11</v>
      </c>
      <c r="F13" s="11" t="s">
        <v>28</v>
      </c>
      <c r="G13" s="6" t="s">
        <v>11</v>
      </c>
      <c r="I13" s="11" t="s">
        <v>29</v>
      </c>
      <c r="J13" s="6" t="s">
        <v>11</v>
      </c>
      <c r="K13" s="11" t="s">
        <v>30</v>
      </c>
    </row>
    <row r="14" spans="2:11" ht="62.85" x14ac:dyDescent="0.3">
      <c r="B14" s="5">
        <v>6</v>
      </c>
      <c r="C14" s="52" t="s">
        <v>31</v>
      </c>
      <c r="D14" s="47"/>
      <c r="E14" s="6" t="s">
        <v>11</v>
      </c>
      <c r="F14" s="11" t="s">
        <v>32</v>
      </c>
      <c r="G14" s="6" t="s">
        <v>11</v>
      </c>
      <c r="I14" s="11" t="s">
        <v>33</v>
      </c>
      <c r="J14" s="6" t="s">
        <v>11</v>
      </c>
      <c r="K14" s="11" t="s">
        <v>34</v>
      </c>
    </row>
    <row r="15" spans="2:11" ht="47.15" x14ac:dyDescent="0.3">
      <c r="B15" s="5">
        <v>7</v>
      </c>
      <c r="C15" s="52" t="s">
        <v>35</v>
      </c>
      <c r="D15" s="47"/>
      <c r="E15" s="9" t="s">
        <v>16</v>
      </c>
      <c r="F15" s="11" t="s">
        <v>36</v>
      </c>
      <c r="G15" s="9" t="s">
        <v>16</v>
      </c>
      <c r="I15" s="11" t="s">
        <v>37</v>
      </c>
      <c r="J15" s="9" t="s">
        <v>16</v>
      </c>
      <c r="K15" s="11" t="s">
        <v>38</v>
      </c>
    </row>
    <row r="16" spans="2:11" ht="47.15" x14ac:dyDescent="0.3">
      <c r="B16" s="5">
        <v>8</v>
      </c>
      <c r="C16" s="52" t="s">
        <v>39</v>
      </c>
      <c r="D16" s="47"/>
      <c r="E16" s="9" t="s">
        <v>16</v>
      </c>
      <c r="F16" s="11" t="s">
        <v>40</v>
      </c>
      <c r="G16" s="9" t="s">
        <v>16</v>
      </c>
      <c r="I16" s="11" t="s">
        <v>41</v>
      </c>
      <c r="J16" s="9" t="s">
        <v>16</v>
      </c>
      <c r="K16" s="11" t="s">
        <v>42</v>
      </c>
    </row>
    <row r="17" spans="2:11" ht="78.55" x14ac:dyDescent="0.3">
      <c r="B17" s="5">
        <v>9</v>
      </c>
      <c r="C17" s="52" t="s">
        <v>43</v>
      </c>
      <c r="D17" s="47"/>
      <c r="E17" s="6" t="s">
        <v>11</v>
      </c>
      <c r="F17" s="12" t="s">
        <v>44</v>
      </c>
      <c r="G17" s="6" t="s">
        <v>11</v>
      </c>
      <c r="I17" s="12" t="s">
        <v>45</v>
      </c>
      <c r="J17" s="6" t="s">
        <v>11</v>
      </c>
      <c r="K17" s="12" t="s">
        <v>46</v>
      </c>
    </row>
    <row r="18" spans="2:11" ht="94.25" x14ac:dyDescent="0.3">
      <c r="B18" s="5">
        <v>10</v>
      </c>
      <c r="C18" s="52" t="s">
        <v>47</v>
      </c>
      <c r="D18" s="47"/>
      <c r="E18" s="6" t="s">
        <v>11</v>
      </c>
      <c r="F18" s="11" t="s">
        <v>48</v>
      </c>
      <c r="G18" s="6" t="s">
        <v>11</v>
      </c>
      <c r="I18" s="11" t="s">
        <v>49</v>
      </c>
      <c r="J18" s="6" t="s">
        <v>11</v>
      </c>
      <c r="K18" s="11" t="s">
        <v>50</v>
      </c>
    </row>
    <row r="19" spans="2:11" ht="47.15" x14ac:dyDescent="0.3">
      <c r="B19" s="5">
        <v>11</v>
      </c>
      <c r="C19" s="52" t="s">
        <v>51</v>
      </c>
      <c r="D19" s="47"/>
      <c r="E19" s="6" t="s">
        <v>11</v>
      </c>
      <c r="F19" s="11" t="s">
        <v>52</v>
      </c>
      <c r="G19" s="6" t="s">
        <v>11</v>
      </c>
      <c r="I19" s="11" t="s">
        <v>53</v>
      </c>
      <c r="J19" s="6" t="s">
        <v>11</v>
      </c>
      <c r="K19" s="11" t="s">
        <v>54</v>
      </c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/>
  </sheetViews>
  <sheetFormatPr defaultColWidth="14.44140625" defaultRowHeight="15.05" customHeight="1" x14ac:dyDescent="0.3"/>
  <cols>
    <col min="1" max="1" width="10.6640625" customWidth="1"/>
    <col min="2" max="2" width="34.5546875" customWidth="1"/>
    <col min="3" max="3" width="16.109375" customWidth="1"/>
    <col min="4" max="24" width="10.6640625" customWidth="1"/>
  </cols>
  <sheetData>
    <row r="1" spans="1:26" ht="51.05" customHeight="1" x14ac:dyDescent="0.3">
      <c r="A1" s="13"/>
      <c r="B1" s="14" t="s">
        <v>1</v>
      </c>
      <c r="C1" s="56" t="s">
        <v>55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56</v>
      </c>
      <c r="C2" s="57" t="s">
        <v>57</v>
      </c>
      <c r="D2" s="43"/>
    </row>
    <row r="3" spans="1:26" ht="14.25" customHeight="1" x14ac:dyDescent="0.35">
      <c r="B3" s="15" t="s">
        <v>58</v>
      </c>
      <c r="C3" s="57" t="s">
        <v>59</v>
      </c>
      <c r="D3" s="43"/>
    </row>
    <row r="4" spans="1:26" ht="14.25" customHeight="1" x14ac:dyDescent="0.35">
      <c r="B4" s="15" t="s">
        <v>60</v>
      </c>
      <c r="C4" s="57" t="s">
        <v>61</v>
      </c>
      <c r="D4" s="43"/>
    </row>
    <row r="5" spans="1:26" ht="14.25" customHeight="1" x14ac:dyDescent="0.3"/>
    <row r="6" spans="1:26" ht="24.25" x14ac:dyDescent="0.3">
      <c r="A6" s="54" t="s">
        <v>62</v>
      </c>
      <c r="B6" s="43"/>
      <c r="C6" s="43"/>
      <c r="D6" s="43"/>
    </row>
    <row r="7" spans="1:26" ht="15.05" customHeight="1" x14ac:dyDescent="0.3">
      <c r="A7" s="16" t="s">
        <v>63</v>
      </c>
      <c r="B7" s="17" t="s">
        <v>64</v>
      </c>
      <c r="C7" s="17" t="s">
        <v>65</v>
      </c>
      <c r="D7" s="18" t="s">
        <v>66</v>
      </c>
    </row>
    <row r="8" spans="1:26" ht="14.25" customHeight="1" x14ac:dyDescent="0.3">
      <c r="A8" s="19">
        <v>1</v>
      </c>
      <c r="B8" s="20" t="s">
        <v>67</v>
      </c>
      <c r="C8" s="21" t="s">
        <v>68</v>
      </c>
      <c r="D8" s="22"/>
    </row>
    <row r="9" spans="1:26" ht="14.25" customHeight="1" x14ac:dyDescent="0.3">
      <c r="A9" s="19">
        <v>2</v>
      </c>
      <c r="B9" s="20" t="s">
        <v>69</v>
      </c>
      <c r="C9" s="21" t="s">
        <v>68</v>
      </c>
      <c r="D9" s="22"/>
    </row>
    <row r="10" spans="1:26" ht="14.25" customHeight="1" x14ac:dyDescent="0.3">
      <c r="A10" s="19">
        <v>3</v>
      </c>
      <c r="B10" s="20" t="s">
        <v>70</v>
      </c>
      <c r="C10" s="21" t="s">
        <v>68</v>
      </c>
      <c r="D10" s="22"/>
    </row>
    <row r="11" spans="1:26" ht="14.25" customHeight="1" x14ac:dyDescent="0.3">
      <c r="A11" s="19">
        <v>4</v>
      </c>
      <c r="B11" s="20" t="s">
        <v>71</v>
      </c>
      <c r="C11" s="21" t="s">
        <v>68</v>
      </c>
      <c r="D11" s="22"/>
    </row>
    <row r="12" spans="1:26" ht="14.25" customHeight="1" x14ac:dyDescent="0.3">
      <c r="A12" s="19">
        <v>5</v>
      </c>
      <c r="B12" s="20" t="s">
        <v>72</v>
      </c>
      <c r="C12" s="21"/>
      <c r="D12" s="22" t="s">
        <v>68</v>
      </c>
    </row>
    <row r="13" spans="1:26" ht="14.25" customHeight="1" x14ac:dyDescent="0.3">
      <c r="A13" s="19">
        <v>6</v>
      </c>
      <c r="B13" s="20" t="s">
        <v>73</v>
      </c>
      <c r="C13" s="21" t="s">
        <v>68</v>
      </c>
      <c r="D13" s="22"/>
    </row>
    <row r="14" spans="1:26" ht="14.25" customHeight="1" x14ac:dyDescent="0.3">
      <c r="A14" s="19">
        <v>7</v>
      </c>
      <c r="B14" s="20" t="s">
        <v>74</v>
      </c>
      <c r="C14" s="21" t="s">
        <v>68</v>
      </c>
      <c r="D14" s="22"/>
    </row>
    <row r="15" spans="1:26" ht="14.25" customHeight="1" x14ac:dyDescent="0.3">
      <c r="A15" s="19">
        <v>8</v>
      </c>
      <c r="B15" s="20" t="s">
        <v>75</v>
      </c>
      <c r="C15" s="21" t="s">
        <v>68</v>
      </c>
      <c r="D15" s="22"/>
    </row>
    <row r="16" spans="1:26" ht="14.25" customHeight="1" x14ac:dyDescent="0.3">
      <c r="A16" s="23">
        <v>9</v>
      </c>
      <c r="B16" s="24" t="s">
        <v>76</v>
      </c>
      <c r="C16" s="25"/>
      <c r="D16" s="25" t="s">
        <v>68</v>
      </c>
    </row>
    <row r="17" spans="1:8" ht="14.25" customHeight="1" x14ac:dyDescent="0.3">
      <c r="A17" s="53" t="s">
        <v>77</v>
      </c>
      <c r="B17" s="43"/>
      <c r="C17" s="8">
        <f>COUNTA('MODELO LISTA DE COMPROBACION - '!$C$8:$C$16)</f>
        <v>7</v>
      </c>
      <c r="D17" s="8">
        <f>COUNTA('MODELO LISTA DE COMPROBACION - '!$D$8:$D$16)</f>
        <v>2</v>
      </c>
    </row>
    <row r="18" spans="1:8" ht="14.25" customHeight="1" x14ac:dyDescent="0.3">
      <c r="A18" s="53" t="s">
        <v>78</v>
      </c>
      <c r="B18" s="43"/>
      <c r="C18" s="27">
        <f t="shared" ref="C18:D18" si="0">C17/9</f>
        <v>0.77777777777777779</v>
      </c>
      <c r="D18" s="27">
        <f t="shared" si="0"/>
        <v>0.22222222222222221</v>
      </c>
    </row>
    <row r="19" spans="1:8" ht="14.25" customHeight="1" x14ac:dyDescent="0.3">
      <c r="A19" s="26"/>
      <c r="B19" s="26"/>
      <c r="C19" s="27"/>
      <c r="D19" s="8"/>
    </row>
    <row r="20" spans="1:8" ht="24.25" x14ac:dyDescent="0.3">
      <c r="A20" s="58" t="s">
        <v>79</v>
      </c>
      <c r="B20" s="59"/>
      <c r="C20" s="59"/>
      <c r="D20" s="59"/>
    </row>
    <row r="21" spans="1:8" ht="20.3" x14ac:dyDescent="0.3">
      <c r="A21" s="28" t="s">
        <v>63</v>
      </c>
      <c r="B21" s="29" t="s">
        <v>64</v>
      </c>
      <c r="C21" s="30" t="s">
        <v>65</v>
      </c>
      <c r="D21" s="31" t="s">
        <v>66</v>
      </c>
    </row>
    <row r="22" spans="1:8" ht="14.25" customHeight="1" x14ac:dyDescent="0.3">
      <c r="A22" s="19">
        <v>1</v>
      </c>
      <c r="B22" s="20" t="s">
        <v>80</v>
      </c>
      <c r="C22" s="25" t="s">
        <v>68</v>
      </c>
      <c r="D22" s="22"/>
    </row>
    <row r="23" spans="1:8" ht="14.25" customHeight="1" x14ac:dyDescent="0.3">
      <c r="A23" s="19">
        <v>2</v>
      </c>
      <c r="B23" s="20" t="s">
        <v>81</v>
      </c>
      <c r="C23" s="25" t="s">
        <v>68</v>
      </c>
      <c r="D23" s="22"/>
    </row>
    <row r="24" spans="1:8" ht="14.25" customHeight="1" x14ac:dyDescent="0.3">
      <c r="A24" s="19">
        <v>3</v>
      </c>
      <c r="B24" s="20" t="s">
        <v>82</v>
      </c>
      <c r="C24" s="25" t="s">
        <v>68</v>
      </c>
      <c r="D24" s="22"/>
    </row>
    <row r="25" spans="1:8" ht="14.25" customHeight="1" x14ac:dyDescent="0.3">
      <c r="A25" s="19">
        <v>4</v>
      </c>
      <c r="B25" s="20" t="s">
        <v>83</v>
      </c>
      <c r="C25" s="25" t="s">
        <v>68</v>
      </c>
      <c r="D25" s="22"/>
    </row>
    <row r="26" spans="1:8" ht="14.25" customHeight="1" x14ac:dyDescent="0.3">
      <c r="A26" s="23">
        <v>5</v>
      </c>
      <c r="B26" s="24" t="s">
        <v>84</v>
      </c>
      <c r="C26" s="25"/>
      <c r="D26" s="32" t="s">
        <v>85</v>
      </c>
      <c r="H26" s="33" t="s">
        <v>86</v>
      </c>
    </row>
    <row r="27" spans="1:8" ht="14.25" customHeight="1" x14ac:dyDescent="0.3">
      <c r="A27" s="53" t="s">
        <v>77</v>
      </c>
      <c r="B27" s="43"/>
      <c r="C27" s="8">
        <f>COUNTA('MODELO LISTA DE COMPROBACION - '!$C$22:$C$26)</f>
        <v>4</v>
      </c>
      <c r="D27" s="8">
        <f>COUNTA('MODELO LISTA DE COMPROBACION - '!$D$22:$D$26)</f>
        <v>1</v>
      </c>
    </row>
    <row r="28" spans="1:8" ht="14.25" customHeight="1" x14ac:dyDescent="0.3">
      <c r="A28" s="53" t="s">
        <v>78</v>
      </c>
      <c r="B28" s="43"/>
      <c r="C28" s="27">
        <f t="shared" ref="C28:D28" si="1">C27/5</f>
        <v>0.8</v>
      </c>
      <c r="D28" s="27">
        <f t="shared" si="1"/>
        <v>0.2</v>
      </c>
    </row>
    <row r="29" spans="1:8" ht="14.25" customHeight="1" x14ac:dyDescent="0.3">
      <c r="A29" s="26"/>
      <c r="B29" s="26"/>
      <c r="C29" s="27"/>
      <c r="D29" s="8"/>
    </row>
    <row r="30" spans="1:8" ht="24.25" x14ac:dyDescent="0.3">
      <c r="A30" s="54" t="s">
        <v>87</v>
      </c>
      <c r="B30" s="43"/>
      <c r="C30" s="43"/>
      <c r="D30" s="43"/>
    </row>
    <row r="31" spans="1:8" ht="20.3" x14ac:dyDescent="0.3">
      <c r="A31" s="28" t="s">
        <v>63</v>
      </c>
      <c r="B31" s="29" t="s">
        <v>64</v>
      </c>
      <c r="C31" s="30" t="s">
        <v>65</v>
      </c>
      <c r="D31" s="31" t="s">
        <v>66</v>
      </c>
    </row>
    <row r="32" spans="1:8" ht="14.25" customHeight="1" x14ac:dyDescent="0.3">
      <c r="A32" s="19">
        <v>1</v>
      </c>
      <c r="B32" s="20" t="s">
        <v>88</v>
      </c>
      <c r="C32" s="25"/>
      <c r="D32" s="25" t="s">
        <v>68</v>
      </c>
    </row>
    <row r="33" spans="1:4" ht="14.25" customHeight="1" x14ac:dyDescent="0.3">
      <c r="A33" s="19">
        <v>2</v>
      </c>
      <c r="B33" s="20" t="s">
        <v>89</v>
      </c>
      <c r="C33" s="25" t="s">
        <v>68</v>
      </c>
      <c r="D33" s="25"/>
    </row>
    <row r="34" spans="1:4" ht="14.25" customHeight="1" x14ac:dyDescent="0.3">
      <c r="A34" s="23">
        <v>3</v>
      </c>
      <c r="B34" s="24" t="s">
        <v>90</v>
      </c>
      <c r="C34" s="25"/>
      <c r="D34" s="25" t="s">
        <v>68</v>
      </c>
    </row>
    <row r="35" spans="1:4" ht="14.25" customHeight="1" x14ac:dyDescent="0.3">
      <c r="A35" s="53" t="s">
        <v>77</v>
      </c>
      <c r="B35" s="43"/>
      <c r="C35" s="8">
        <f>COUNTA('MODELO LISTA DE COMPROBACION - '!$C$32:$C$34)</f>
        <v>1</v>
      </c>
      <c r="D35" s="8">
        <f>COUNTA('MODELO LISTA DE COMPROBACION - '!$D$32:$D$34)</f>
        <v>2</v>
      </c>
    </row>
    <row r="36" spans="1:4" ht="14.25" customHeight="1" x14ac:dyDescent="0.3">
      <c r="A36" s="53" t="s">
        <v>78</v>
      </c>
      <c r="B36" s="43"/>
      <c r="C36" s="27">
        <f t="shared" ref="C36:D36" si="2">C35/3</f>
        <v>0.33333333333333331</v>
      </c>
      <c r="D36" s="27">
        <f t="shared" si="2"/>
        <v>0.66666666666666663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5" t="s">
        <v>91</v>
      </c>
      <c r="B40" s="43"/>
      <c r="C40" s="43"/>
    </row>
    <row r="41" spans="1:4" ht="29.95" customHeight="1" x14ac:dyDescent="0.3">
      <c r="B41" s="13" t="s">
        <v>92</v>
      </c>
      <c r="C41" s="8">
        <v>78</v>
      </c>
    </row>
    <row r="42" spans="1:4" ht="29.95" customHeight="1" x14ac:dyDescent="0.3">
      <c r="B42" s="13" t="s">
        <v>79</v>
      </c>
      <c r="C42" s="8">
        <v>80</v>
      </c>
    </row>
    <row r="43" spans="1:4" ht="29.95" customHeight="1" x14ac:dyDescent="0.3">
      <c r="B43" s="13" t="s">
        <v>87</v>
      </c>
      <c r="C43" s="8">
        <v>33</v>
      </c>
    </row>
    <row r="44" spans="1:4" ht="14.25" customHeight="1" x14ac:dyDescent="0.3">
      <c r="C44" s="8"/>
    </row>
    <row r="45" spans="1:4" ht="14.25" customHeight="1" x14ac:dyDescent="0.3">
      <c r="C45" s="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defaultColWidth="14.44140625" defaultRowHeight="15.05" customHeight="1" x14ac:dyDescent="0.3"/>
  <cols>
    <col min="1" max="1" width="10.6640625" customWidth="1"/>
    <col min="2" max="2" width="34.5546875" customWidth="1"/>
    <col min="3" max="3" width="16.109375" customWidth="1"/>
    <col min="4" max="24" width="10.6640625" customWidth="1"/>
  </cols>
  <sheetData>
    <row r="1" spans="1:26" ht="51.05" customHeight="1" x14ac:dyDescent="0.3">
      <c r="A1" s="13"/>
      <c r="B1" s="14" t="s">
        <v>1</v>
      </c>
      <c r="C1" s="56" t="s">
        <v>93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B2" s="15" t="s">
        <v>56</v>
      </c>
      <c r="C2" s="57" t="s">
        <v>57</v>
      </c>
      <c r="D2" s="43"/>
    </row>
    <row r="3" spans="1:26" ht="14.25" customHeight="1" x14ac:dyDescent="0.35">
      <c r="B3" s="15" t="s">
        <v>58</v>
      </c>
      <c r="C3" s="57" t="s">
        <v>94</v>
      </c>
      <c r="D3" s="43"/>
    </row>
    <row r="4" spans="1:26" ht="14.25" customHeight="1" x14ac:dyDescent="0.35">
      <c r="B4" s="15" t="s">
        <v>60</v>
      </c>
      <c r="C4" s="57" t="s">
        <v>95</v>
      </c>
      <c r="D4" s="43"/>
    </row>
    <row r="5" spans="1:26" ht="14.25" customHeight="1" x14ac:dyDescent="0.3"/>
    <row r="6" spans="1:26" ht="24.25" x14ac:dyDescent="0.3">
      <c r="A6" s="54" t="s">
        <v>62</v>
      </c>
      <c r="B6" s="43"/>
      <c r="C6" s="43"/>
      <c r="D6" s="43"/>
    </row>
    <row r="7" spans="1:26" ht="15.05" customHeight="1" x14ac:dyDescent="0.3">
      <c r="A7" s="16" t="s">
        <v>63</v>
      </c>
      <c r="B7" s="17" t="s">
        <v>64</v>
      </c>
      <c r="C7" s="17" t="s">
        <v>65</v>
      </c>
      <c r="D7" s="18" t="s">
        <v>66</v>
      </c>
    </row>
    <row r="8" spans="1:26" ht="14.25" customHeight="1" x14ac:dyDescent="0.3">
      <c r="A8" s="19">
        <v>1</v>
      </c>
      <c r="B8" s="20" t="s">
        <v>67</v>
      </c>
      <c r="C8" s="21" t="s">
        <v>68</v>
      </c>
      <c r="D8" s="22"/>
    </row>
    <row r="9" spans="1:26" ht="14.25" customHeight="1" x14ac:dyDescent="0.3">
      <c r="A9" s="19">
        <v>2</v>
      </c>
      <c r="B9" s="20" t="s">
        <v>69</v>
      </c>
      <c r="C9" s="21" t="s">
        <v>68</v>
      </c>
      <c r="D9" s="22"/>
    </row>
    <row r="10" spans="1:26" ht="14.25" customHeight="1" x14ac:dyDescent="0.3">
      <c r="A10" s="19">
        <v>3</v>
      </c>
      <c r="B10" s="20" t="s">
        <v>70</v>
      </c>
      <c r="C10" s="21" t="s">
        <v>68</v>
      </c>
      <c r="D10" s="22"/>
    </row>
    <row r="11" spans="1:26" ht="14.25" customHeight="1" x14ac:dyDescent="0.3">
      <c r="A11" s="19">
        <v>4</v>
      </c>
      <c r="B11" s="20" t="s">
        <v>71</v>
      </c>
      <c r="C11" s="21" t="s">
        <v>68</v>
      </c>
      <c r="D11" s="22"/>
    </row>
    <row r="12" spans="1:26" ht="14.25" customHeight="1" x14ac:dyDescent="0.3">
      <c r="A12" s="19">
        <v>5</v>
      </c>
      <c r="B12" s="20" t="s">
        <v>72</v>
      </c>
      <c r="C12" s="21"/>
      <c r="D12" s="22" t="s">
        <v>68</v>
      </c>
    </row>
    <row r="13" spans="1:26" ht="14.25" customHeight="1" x14ac:dyDescent="0.3">
      <c r="A13" s="19">
        <v>6</v>
      </c>
      <c r="B13" s="20" t="s">
        <v>73</v>
      </c>
      <c r="C13" s="21" t="s">
        <v>68</v>
      </c>
      <c r="D13" s="22"/>
    </row>
    <row r="14" spans="1:26" ht="14.25" customHeight="1" x14ac:dyDescent="0.3">
      <c r="A14" s="19">
        <v>7</v>
      </c>
      <c r="B14" s="20" t="s">
        <v>74</v>
      </c>
      <c r="C14" s="21" t="s">
        <v>68</v>
      </c>
      <c r="D14" s="22"/>
    </row>
    <row r="15" spans="1:26" ht="14.25" customHeight="1" x14ac:dyDescent="0.3">
      <c r="A15" s="19">
        <v>8</v>
      </c>
      <c r="B15" s="20" t="s">
        <v>75</v>
      </c>
      <c r="C15" s="21" t="s">
        <v>68</v>
      </c>
      <c r="D15" s="22"/>
    </row>
    <row r="16" spans="1:26" ht="14.25" customHeight="1" x14ac:dyDescent="0.3">
      <c r="A16" s="23">
        <v>9</v>
      </c>
      <c r="B16" s="24" t="s">
        <v>76</v>
      </c>
      <c r="C16" s="25"/>
      <c r="D16" s="25" t="s">
        <v>68</v>
      </c>
    </row>
    <row r="17" spans="1:4" ht="14.25" customHeight="1" x14ac:dyDescent="0.3">
      <c r="A17" s="53" t="s">
        <v>77</v>
      </c>
      <c r="B17" s="43"/>
      <c r="C17" s="8">
        <f>COUNTA(Sheet1!$C$8:$C$16)</f>
        <v>7</v>
      </c>
      <c r="D17" s="8">
        <f>COUNTA(Sheet1!$D$8:$D$16)</f>
        <v>2</v>
      </c>
    </row>
    <row r="18" spans="1:4" ht="14.25" customHeight="1" x14ac:dyDescent="0.3">
      <c r="A18" s="53" t="s">
        <v>78</v>
      </c>
      <c r="B18" s="43"/>
      <c r="C18" s="27">
        <f t="shared" ref="C18:D18" si="0">C17/9</f>
        <v>0.77777777777777779</v>
      </c>
      <c r="D18" s="27">
        <f t="shared" si="0"/>
        <v>0.22222222222222221</v>
      </c>
    </row>
    <row r="19" spans="1:4" ht="14.25" customHeight="1" x14ac:dyDescent="0.3">
      <c r="A19" s="26"/>
      <c r="B19" s="26"/>
      <c r="C19" s="27"/>
      <c r="D19" s="8"/>
    </row>
    <row r="20" spans="1:4" ht="24.25" x14ac:dyDescent="0.3">
      <c r="A20" s="58" t="s">
        <v>79</v>
      </c>
      <c r="B20" s="59"/>
      <c r="C20" s="59"/>
      <c r="D20" s="59"/>
    </row>
    <row r="21" spans="1:4" ht="14.25" customHeight="1" x14ac:dyDescent="0.3">
      <c r="A21" s="28" t="s">
        <v>63</v>
      </c>
      <c r="B21" s="29" t="s">
        <v>64</v>
      </c>
      <c r="C21" s="30" t="s">
        <v>65</v>
      </c>
      <c r="D21" s="31" t="s">
        <v>66</v>
      </c>
    </row>
    <row r="22" spans="1:4" ht="14.25" customHeight="1" x14ac:dyDescent="0.3">
      <c r="A22" s="19">
        <v>1</v>
      </c>
      <c r="B22" s="20" t="s">
        <v>80</v>
      </c>
      <c r="C22" s="25" t="s">
        <v>68</v>
      </c>
      <c r="D22" s="22"/>
    </row>
    <row r="23" spans="1:4" ht="14.25" customHeight="1" x14ac:dyDescent="0.3">
      <c r="A23" s="19">
        <v>2</v>
      </c>
      <c r="B23" s="20" t="s">
        <v>81</v>
      </c>
      <c r="C23" s="25" t="s">
        <v>68</v>
      </c>
      <c r="D23" s="22"/>
    </row>
    <row r="24" spans="1:4" ht="14.25" customHeight="1" x14ac:dyDescent="0.3">
      <c r="A24" s="19">
        <v>3</v>
      </c>
      <c r="B24" s="20" t="s">
        <v>82</v>
      </c>
      <c r="C24" s="25" t="s">
        <v>68</v>
      </c>
      <c r="D24" s="22"/>
    </row>
    <row r="25" spans="1:4" ht="14.25" customHeight="1" x14ac:dyDescent="0.3">
      <c r="A25" s="19">
        <v>4</v>
      </c>
      <c r="B25" s="20" t="s">
        <v>83</v>
      </c>
      <c r="C25" s="25" t="s">
        <v>68</v>
      </c>
      <c r="D25" s="22"/>
    </row>
    <row r="26" spans="1:4" ht="14.25" customHeight="1" x14ac:dyDescent="0.3">
      <c r="A26" s="23">
        <v>5</v>
      </c>
      <c r="B26" s="24" t="s">
        <v>84</v>
      </c>
      <c r="C26" s="25" t="s">
        <v>68</v>
      </c>
      <c r="D26" s="32"/>
    </row>
    <row r="27" spans="1:4" ht="14.25" customHeight="1" x14ac:dyDescent="0.3">
      <c r="A27" s="53" t="s">
        <v>77</v>
      </c>
      <c r="B27" s="43"/>
      <c r="C27" s="8">
        <f>COUNTA(Sheet1!$C$22:$C$26)</f>
        <v>5</v>
      </c>
      <c r="D27" s="8">
        <f>COUNTA(Sheet1!$D$22:$D$26)</f>
        <v>0</v>
      </c>
    </row>
    <row r="28" spans="1:4" ht="14.25" customHeight="1" x14ac:dyDescent="0.3">
      <c r="A28" s="53" t="s">
        <v>78</v>
      </c>
      <c r="B28" s="43"/>
      <c r="C28" s="27">
        <f t="shared" ref="C28:D28" si="1">C27/5</f>
        <v>1</v>
      </c>
      <c r="D28" s="27">
        <f t="shared" si="1"/>
        <v>0</v>
      </c>
    </row>
    <row r="29" spans="1:4" ht="14.25" customHeight="1" x14ac:dyDescent="0.3">
      <c r="A29" s="26"/>
      <c r="B29" s="26"/>
      <c r="C29" s="27"/>
      <c r="D29" s="8"/>
    </row>
    <row r="30" spans="1:4" ht="14.25" customHeight="1" x14ac:dyDescent="0.3">
      <c r="A30" s="54" t="s">
        <v>87</v>
      </c>
      <c r="B30" s="43"/>
      <c r="C30" s="43"/>
      <c r="D30" s="43"/>
    </row>
    <row r="31" spans="1:4" ht="14.25" customHeight="1" x14ac:dyDescent="0.3">
      <c r="A31" s="28" t="s">
        <v>63</v>
      </c>
      <c r="B31" s="29" t="s">
        <v>64</v>
      </c>
      <c r="C31" s="30" t="s">
        <v>65</v>
      </c>
      <c r="D31" s="31" t="s">
        <v>66</v>
      </c>
    </row>
    <row r="32" spans="1:4" ht="14.25" customHeight="1" x14ac:dyDescent="0.3">
      <c r="A32" s="19">
        <v>1</v>
      </c>
      <c r="B32" s="20" t="s">
        <v>88</v>
      </c>
      <c r="C32" s="25"/>
      <c r="D32" s="25" t="s">
        <v>68</v>
      </c>
    </row>
    <row r="33" spans="1:4" ht="14.25" customHeight="1" x14ac:dyDescent="0.3">
      <c r="A33" s="19">
        <v>2</v>
      </c>
      <c r="B33" s="20" t="s">
        <v>89</v>
      </c>
      <c r="C33" s="25" t="s">
        <v>68</v>
      </c>
      <c r="D33" s="25"/>
    </row>
    <row r="34" spans="1:4" ht="14.25" customHeight="1" x14ac:dyDescent="0.3">
      <c r="A34" s="23">
        <v>3</v>
      </c>
      <c r="B34" s="24" t="s">
        <v>90</v>
      </c>
      <c r="C34" s="25"/>
      <c r="D34" s="25" t="s">
        <v>68</v>
      </c>
    </row>
    <row r="35" spans="1:4" ht="14.25" customHeight="1" x14ac:dyDescent="0.3">
      <c r="A35" s="53" t="s">
        <v>77</v>
      </c>
      <c r="B35" s="43"/>
      <c r="C35" s="8">
        <f>COUNTA(Sheet1!$C$32:$C$34)</f>
        <v>1</v>
      </c>
      <c r="D35" s="8">
        <f>COUNTA(Sheet1!$D$32:$D$34)</f>
        <v>2</v>
      </c>
    </row>
    <row r="36" spans="1:4" ht="14.25" customHeight="1" x14ac:dyDescent="0.3">
      <c r="A36" s="53" t="s">
        <v>78</v>
      </c>
      <c r="B36" s="43"/>
      <c r="C36" s="27">
        <f t="shared" ref="C36:D36" si="2">C35/3</f>
        <v>0.33333333333333331</v>
      </c>
      <c r="D36" s="27">
        <f t="shared" si="2"/>
        <v>0.66666666666666663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5" t="s">
        <v>91</v>
      </c>
      <c r="B40" s="43"/>
      <c r="C40" s="43"/>
    </row>
    <row r="41" spans="1:4" ht="29.95" customHeight="1" x14ac:dyDescent="0.3">
      <c r="B41" s="13" t="s">
        <v>92</v>
      </c>
      <c r="C41" s="8">
        <v>78</v>
      </c>
    </row>
    <row r="42" spans="1:4" ht="29.95" customHeight="1" x14ac:dyDescent="0.3">
      <c r="B42" s="13" t="s">
        <v>79</v>
      </c>
      <c r="C42" s="8">
        <v>100</v>
      </c>
    </row>
    <row r="43" spans="1:4" ht="29.95" customHeight="1" x14ac:dyDescent="0.3">
      <c r="B43" s="13" t="s">
        <v>87</v>
      </c>
      <c r="C43" s="8">
        <v>33</v>
      </c>
    </row>
    <row r="44" spans="1:4" ht="14.25" customHeight="1" x14ac:dyDescent="0.3">
      <c r="C44" s="8"/>
    </row>
    <row r="45" spans="1:4" ht="14.25" customHeight="1" x14ac:dyDescent="0.3">
      <c r="C45" s="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9" workbookViewId="0">
      <selection activeCell="B10" sqref="B10"/>
    </sheetView>
  </sheetViews>
  <sheetFormatPr defaultColWidth="14.44140625" defaultRowHeight="15.05" customHeight="1" x14ac:dyDescent="0.3"/>
  <cols>
    <col min="1" max="1" width="10.6640625" customWidth="1"/>
    <col min="2" max="2" width="34.5546875" customWidth="1"/>
    <col min="3" max="3" width="16.109375" customWidth="1"/>
    <col min="4" max="24" width="10.6640625" customWidth="1"/>
  </cols>
  <sheetData>
    <row r="1" spans="1:26" ht="51.05" customHeight="1" x14ac:dyDescent="0.3">
      <c r="A1" s="13"/>
      <c r="B1" s="14" t="s">
        <v>1</v>
      </c>
      <c r="C1" s="56" t="s">
        <v>55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.350000000000001" x14ac:dyDescent="0.35">
      <c r="B2" s="15" t="s">
        <v>56</v>
      </c>
      <c r="C2" s="60">
        <v>46126</v>
      </c>
      <c r="D2" s="43"/>
    </row>
    <row r="3" spans="1:26" ht="18.350000000000001" x14ac:dyDescent="0.35">
      <c r="B3" s="15" t="s">
        <v>58</v>
      </c>
      <c r="C3" s="57" t="s">
        <v>96</v>
      </c>
      <c r="D3" s="43"/>
    </row>
    <row r="4" spans="1:26" ht="18.350000000000001" x14ac:dyDescent="0.35">
      <c r="B4" s="15" t="s">
        <v>60</v>
      </c>
      <c r="C4" s="57" t="s">
        <v>97</v>
      </c>
      <c r="D4" s="43"/>
    </row>
    <row r="5" spans="1:26" ht="14.25" customHeight="1" x14ac:dyDescent="0.3"/>
    <row r="6" spans="1:26" ht="24.25" x14ac:dyDescent="0.3">
      <c r="A6" s="54" t="s">
        <v>62</v>
      </c>
      <c r="B6" s="43"/>
      <c r="C6" s="43"/>
      <c r="D6" s="43"/>
    </row>
    <row r="7" spans="1:26" ht="18.350000000000001" x14ac:dyDescent="0.3">
      <c r="A7" s="16" t="s">
        <v>63</v>
      </c>
      <c r="B7" s="17" t="s">
        <v>64</v>
      </c>
      <c r="C7" s="17" t="s">
        <v>65</v>
      </c>
      <c r="D7" s="18" t="s">
        <v>66</v>
      </c>
    </row>
    <row r="8" spans="1:26" ht="30.15" x14ac:dyDescent="0.3">
      <c r="A8" s="19">
        <v>1</v>
      </c>
      <c r="B8" s="20" t="s">
        <v>67</v>
      </c>
      <c r="C8" s="21" t="s">
        <v>68</v>
      </c>
      <c r="D8" s="22"/>
    </row>
    <row r="9" spans="1:26" ht="30.15" x14ac:dyDescent="0.3">
      <c r="A9" s="19">
        <v>2</v>
      </c>
      <c r="B9" s="20" t="s">
        <v>69</v>
      </c>
      <c r="C9" s="21"/>
      <c r="D9" s="34" t="s">
        <v>68</v>
      </c>
    </row>
    <row r="10" spans="1:26" ht="60.25" x14ac:dyDescent="0.3">
      <c r="A10" s="19">
        <v>3</v>
      </c>
      <c r="B10" s="20" t="s">
        <v>98</v>
      </c>
      <c r="C10" s="21"/>
      <c r="D10" s="34" t="s">
        <v>68</v>
      </c>
    </row>
    <row r="11" spans="1:26" ht="30.15" x14ac:dyDescent="0.3">
      <c r="A11" s="19">
        <v>4</v>
      </c>
      <c r="B11" s="20" t="s">
        <v>99</v>
      </c>
      <c r="C11" s="21" t="s">
        <v>68</v>
      </c>
      <c r="D11" s="22"/>
    </row>
    <row r="12" spans="1:26" ht="30.15" x14ac:dyDescent="0.3">
      <c r="A12" s="19">
        <v>5</v>
      </c>
      <c r="B12" s="20" t="s">
        <v>72</v>
      </c>
      <c r="C12" s="21" t="s">
        <v>68</v>
      </c>
      <c r="D12" s="22"/>
    </row>
    <row r="13" spans="1:26" ht="30.15" x14ac:dyDescent="0.3">
      <c r="A13" s="19">
        <v>6</v>
      </c>
      <c r="B13" s="20" t="s">
        <v>73</v>
      </c>
      <c r="C13" s="21" t="s">
        <v>68</v>
      </c>
      <c r="D13" s="22"/>
    </row>
    <row r="14" spans="1:26" ht="30.15" x14ac:dyDescent="0.3">
      <c r="A14" s="19">
        <v>7</v>
      </c>
      <c r="B14" s="20" t="s">
        <v>74</v>
      </c>
      <c r="C14" s="21" t="s">
        <v>68</v>
      </c>
      <c r="D14" s="22"/>
    </row>
    <row r="15" spans="1:26" ht="45.2" x14ac:dyDescent="0.3">
      <c r="A15" s="19">
        <v>8</v>
      </c>
      <c r="B15" s="20" t="s">
        <v>100</v>
      </c>
      <c r="C15" s="21" t="s">
        <v>68</v>
      </c>
      <c r="D15" s="22"/>
    </row>
    <row r="16" spans="1:26" ht="60.25" x14ac:dyDescent="0.3">
      <c r="A16" s="23">
        <v>9</v>
      </c>
      <c r="B16" s="24" t="s">
        <v>76</v>
      </c>
      <c r="C16" s="25"/>
      <c r="D16" s="25" t="s">
        <v>68</v>
      </c>
    </row>
    <row r="17" spans="1:4" ht="14.25" customHeight="1" x14ac:dyDescent="0.3">
      <c r="A17" s="53" t="s">
        <v>77</v>
      </c>
      <c r="B17" s="43"/>
      <c r="C17" s="8">
        <f>COUNTA(Sheet2!$C$8:$C$16)</f>
        <v>6</v>
      </c>
      <c r="D17" s="8">
        <f>COUNTA(Sheet2!$D$8:$D$16)</f>
        <v>3</v>
      </c>
    </row>
    <row r="18" spans="1:4" ht="14.25" customHeight="1" x14ac:dyDescent="0.3">
      <c r="A18" s="53" t="s">
        <v>78</v>
      </c>
      <c r="B18" s="43"/>
      <c r="C18" s="27">
        <f t="shared" ref="C18:D18" si="0">C17/9</f>
        <v>0.66666666666666663</v>
      </c>
      <c r="D18" s="27">
        <f t="shared" si="0"/>
        <v>0.33333333333333331</v>
      </c>
    </row>
    <row r="19" spans="1:4" ht="14.25" customHeight="1" x14ac:dyDescent="0.3">
      <c r="A19" s="26"/>
      <c r="B19" s="26"/>
      <c r="C19" s="27"/>
      <c r="D19" s="8"/>
    </row>
    <row r="20" spans="1:4" ht="24.25" x14ac:dyDescent="0.3">
      <c r="A20" s="58" t="s">
        <v>79</v>
      </c>
      <c r="B20" s="59"/>
      <c r="C20" s="59"/>
      <c r="D20" s="59"/>
    </row>
    <row r="21" spans="1:4" ht="20.3" x14ac:dyDescent="0.3">
      <c r="A21" s="28" t="s">
        <v>63</v>
      </c>
      <c r="B21" s="29" t="s">
        <v>64</v>
      </c>
      <c r="C21" s="30" t="s">
        <v>65</v>
      </c>
      <c r="D21" s="31" t="s">
        <v>66</v>
      </c>
    </row>
    <row r="22" spans="1:4" ht="30.15" x14ac:dyDescent="0.3">
      <c r="A22" s="19">
        <v>1</v>
      </c>
      <c r="B22" s="20" t="s">
        <v>80</v>
      </c>
      <c r="C22" s="25" t="s">
        <v>68</v>
      </c>
      <c r="D22" s="22"/>
    </row>
    <row r="23" spans="1:4" ht="30.15" x14ac:dyDescent="0.3">
      <c r="A23" s="19">
        <v>2</v>
      </c>
      <c r="B23" s="20" t="s">
        <v>81</v>
      </c>
      <c r="C23" s="25" t="s">
        <v>68</v>
      </c>
      <c r="D23" s="22"/>
    </row>
    <row r="24" spans="1:4" ht="30.15" x14ac:dyDescent="0.3">
      <c r="A24" s="19">
        <v>3</v>
      </c>
      <c r="B24" s="20" t="s">
        <v>82</v>
      </c>
      <c r="C24" s="25" t="s">
        <v>68</v>
      </c>
      <c r="D24" s="22"/>
    </row>
    <row r="25" spans="1:4" ht="30.15" x14ac:dyDescent="0.3">
      <c r="A25" s="19">
        <v>4</v>
      </c>
      <c r="B25" s="20" t="s">
        <v>83</v>
      </c>
      <c r="C25" s="25" t="s">
        <v>68</v>
      </c>
      <c r="D25" s="34"/>
    </row>
    <row r="26" spans="1:4" x14ac:dyDescent="0.3">
      <c r="A26" s="23">
        <v>5</v>
      </c>
      <c r="B26" s="24" t="s">
        <v>84</v>
      </c>
      <c r="C26" s="25"/>
      <c r="D26" s="35" t="s">
        <v>68</v>
      </c>
    </row>
    <row r="27" spans="1:4" ht="14.25" customHeight="1" x14ac:dyDescent="0.3">
      <c r="A27" s="53" t="s">
        <v>77</v>
      </c>
      <c r="B27" s="43"/>
      <c r="C27" s="8">
        <f>COUNTA(Sheet2!$C$22:$C$26)</f>
        <v>4</v>
      </c>
      <c r="D27" s="8">
        <f>COUNTA(Sheet2!$D$22:$D$26)</f>
        <v>1</v>
      </c>
    </row>
    <row r="28" spans="1:4" ht="14.25" customHeight="1" x14ac:dyDescent="0.3">
      <c r="A28" s="53" t="s">
        <v>78</v>
      </c>
      <c r="B28" s="43"/>
      <c r="C28" s="27">
        <f t="shared" ref="C28:D28" si="1">C27/5</f>
        <v>0.8</v>
      </c>
      <c r="D28" s="27">
        <f t="shared" si="1"/>
        <v>0.2</v>
      </c>
    </row>
    <row r="29" spans="1:4" ht="14.25" customHeight="1" x14ac:dyDescent="0.3">
      <c r="A29" s="26"/>
      <c r="B29" s="26"/>
      <c r="C29" s="27"/>
      <c r="D29" s="8"/>
    </row>
    <row r="30" spans="1:4" ht="24.25" x14ac:dyDescent="0.3">
      <c r="A30" s="54" t="s">
        <v>87</v>
      </c>
      <c r="B30" s="43"/>
      <c r="C30" s="43"/>
      <c r="D30" s="43"/>
    </row>
    <row r="31" spans="1:4" ht="20.3" x14ac:dyDescent="0.3">
      <c r="A31" s="28" t="s">
        <v>63</v>
      </c>
      <c r="B31" s="29" t="s">
        <v>64</v>
      </c>
      <c r="C31" s="30" t="s">
        <v>65</v>
      </c>
      <c r="D31" s="31" t="s">
        <v>66</v>
      </c>
    </row>
    <row r="32" spans="1:4" ht="30.15" x14ac:dyDescent="0.3">
      <c r="A32" s="19">
        <v>1</v>
      </c>
      <c r="B32" s="20" t="s">
        <v>88</v>
      </c>
      <c r="C32" s="25"/>
      <c r="D32" s="61" t="s">
        <v>68</v>
      </c>
    </row>
    <row r="33" spans="1:4" ht="45.2" x14ac:dyDescent="0.3">
      <c r="A33" s="19">
        <v>2</v>
      </c>
      <c r="B33" s="20" t="s">
        <v>89</v>
      </c>
      <c r="C33" s="25" t="s">
        <v>68</v>
      </c>
      <c r="D33" s="36"/>
    </row>
    <row r="34" spans="1:4" ht="45.2" x14ac:dyDescent="0.3">
      <c r="A34" s="23">
        <v>3</v>
      </c>
      <c r="B34" s="24" t="s">
        <v>90</v>
      </c>
      <c r="C34" s="25"/>
      <c r="D34" s="62" t="s">
        <v>68</v>
      </c>
    </row>
    <row r="35" spans="1:4" ht="14.25" customHeight="1" x14ac:dyDescent="0.3">
      <c r="A35" s="53" t="s">
        <v>77</v>
      </c>
      <c r="B35" s="43"/>
      <c r="C35" s="8">
        <f>COUNTA(Sheet2!$C$32:$C$34)</f>
        <v>1</v>
      </c>
      <c r="D35" s="8">
        <f>COUNTA(Sheet2!$D$32:$D$34)</f>
        <v>2</v>
      </c>
    </row>
    <row r="36" spans="1:4" ht="14.25" customHeight="1" x14ac:dyDescent="0.3">
      <c r="A36" s="53" t="s">
        <v>78</v>
      </c>
      <c r="B36" s="43"/>
      <c r="C36" s="27">
        <f t="shared" ref="C36:D36" si="2">C35/3</f>
        <v>0.33333333333333331</v>
      </c>
      <c r="D36" s="27">
        <f t="shared" si="2"/>
        <v>0.66666666666666663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55" t="s">
        <v>91</v>
      </c>
      <c r="B40" s="43"/>
      <c r="C40" s="43"/>
    </row>
    <row r="41" spans="1:4" ht="29.95" customHeight="1" x14ac:dyDescent="0.3">
      <c r="B41" s="13" t="s">
        <v>92</v>
      </c>
      <c r="C41" s="8">
        <v>67</v>
      </c>
    </row>
    <row r="42" spans="1:4" ht="29.95" customHeight="1" x14ac:dyDescent="0.3">
      <c r="B42" s="13" t="s">
        <v>79</v>
      </c>
      <c r="C42" s="8">
        <v>80</v>
      </c>
    </row>
    <row r="43" spans="1:4" ht="29.95" customHeight="1" x14ac:dyDescent="0.3">
      <c r="B43" s="13" t="s">
        <v>87</v>
      </c>
      <c r="C43" s="8">
        <v>33</v>
      </c>
    </row>
    <row r="44" spans="1:4" ht="14.25" customHeight="1" x14ac:dyDescent="0.3">
      <c r="C44" s="8"/>
    </row>
    <row r="45" spans="1:4" ht="14.25" customHeight="1" x14ac:dyDescent="0.3">
      <c r="C45" s="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 r:id="rId1"/>
  <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.05" customHeight="1" x14ac:dyDescent="0.3"/>
  <cols>
    <col min="1" max="1" width="53.109375" customWidth="1"/>
    <col min="2" max="2" width="57.33203125" customWidth="1"/>
    <col min="3" max="6" width="10.6640625" customWidth="1"/>
  </cols>
  <sheetData>
    <row r="1" spans="1:26" ht="14.25" customHeight="1" x14ac:dyDescent="0.3">
      <c r="A1" s="37" t="s">
        <v>101</v>
      </c>
      <c r="B1" s="37" t="s">
        <v>102</v>
      </c>
    </row>
    <row r="2" spans="1:26" ht="45.2" x14ac:dyDescent="0.3">
      <c r="A2" s="20" t="s">
        <v>103</v>
      </c>
      <c r="B2" s="20" t="s">
        <v>104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45.2" x14ac:dyDescent="0.3">
      <c r="A3" s="4" t="s">
        <v>105</v>
      </c>
      <c r="B3" s="20" t="s">
        <v>106</v>
      </c>
    </row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.05" customHeight="1" x14ac:dyDescent="0.3"/>
  <cols>
    <col min="1" max="1" width="53.109375" customWidth="1"/>
    <col min="2" max="2" width="57.33203125" customWidth="1"/>
    <col min="3" max="6" width="10.6640625" customWidth="1"/>
  </cols>
  <sheetData>
    <row r="1" spans="1:26" ht="14.25" customHeight="1" x14ac:dyDescent="0.3">
      <c r="A1" s="37" t="s">
        <v>101</v>
      </c>
      <c r="B1" s="37" t="s">
        <v>102</v>
      </c>
    </row>
    <row r="2" spans="1:26" ht="60.25" x14ac:dyDescent="0.3">
      <c r="A2" s="20" t="s">
        <v>103</v>
      </c>
      <c r="B2" s="20" t="s">
        <v>107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30.15" x14ac:dyDescent="0.3">
      <c r="A3" s="4" t="s">
        <v>105</v>
      </c>
      <c r="B3" s="20" t="s">
        <v>108</v>
      </c>
    </row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.05" customHeight="1" x14ac:dyDescent="0.3"/>
  <cols>
    <col min="1" max="1" width="53.109375" customWidth="1"/>
    <col min="2" max="2" width="57.33203125" customWidth="1"/>
    <col min="3" max="6" width="10.6640625" customWidth="1"/>
  </cols>
  <sheetData>
    <row r="1" spans="1:26" ht="14.25" customHeight="1" x14ac:dyDescent="0.3">
      <c r="A1" s="37" t="s">
        <v>101</v>
      </c>
      <c r="B1" s="37" t="s">
        <v>102</v>
      </c>
    </row>
    <row r="2" spans="1:26" ht="30.15" x14ac:dyDescent="0.3">
      <c r="A2" s="20" t="s">
        <v>103</v>
      </c>
      <c r="B2" s="20" t="s">
        <v>109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45.2" x14ac:dyDescent="0.3">
      <c r="A3" s="4" t="s">
        <v>105</v>
      </c>
      <c r="B3" s="20" t="s">
        <v>106</v>
      </c>
    </row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 - </vt:lpstr>
      <vt:lpstr>Sheet1</vt:lpstr>
      <vt:lpstr>Sheet2</vt:lpstr>
      <vt:lpstr>RECOMENDACIONES - CU03</vt:lpstr>
      <vt:lpstr>RECOMENDACIONES - CU04</vt:lpstr>
      <vt:lpstr>RECOMENDACIONES - CU05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Danny Mateo Ayuquina Navas</cp:lastModifiedBy>
  <dcterms:created xsi:type="dcterms:W3CDTF">2026-04-14T13:46:44Z</dcterms:created>
  <dcterms:modified xsi:type="dcterms:W3CDTF">2026-04-23T04:48:03Z</dcterms:modified>
</cp:coreProperties>
</file>